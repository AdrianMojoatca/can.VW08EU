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D:\ADI\DB3\Based_on_latest_core\VW07EU\Portate\TechSheet\"/>
    </mc:Choice>
  </mc:AlternateContent>
  <xr:revisionPtr revIDLastSave="0" documentId="13_ncr:1_{54FAEF65-B693-4B06-8E47-3ADDB3527246}" xr6:coauthVersionLast="47" xr6:coauthVersionMax="47" xr10:uidLastSave="{00000000-0000-0000-0000-000000000000}"/>
  <bookViews>
    <workbookView xWindow="5292" yWindow="3396" windowWidth="17280" windowHeight="8964" tabRatio="943" firstSheet="2" activeTab="6" xr2:uid="{00000000-000D-0000-FFFF-FFFF00000000}"/>
  </bookViews>
  <sheets>
    <sheet name="Features" sheetId="1" r:id="rId1"/>
    <sheet name="available commands" sheetId="14" r:id="rId2"/>
    <sheet name="Install 40x ORI" sheetId="2" r:id="rId3"/>
    <sheet name="Install 40x RSR" sheetId="3" r:id="rId4"/>
    <sheet name="Install 40x RXT" sheetId="4" r:id="rId5"/>
    <sheet name="Install 800" sheetId="5" r:id="rId6"/>
    <sheet name="Install 933" sheetId="13" r:id="rId7"/>
    <sheet name="LED" sheetId="7" r:id="rId8"/>
    <sheet name="PF" sheetId="8" r:id="rId9"/>
    <sheet name="Takeover &amp; Pitstop" sheetId="9" r:id="rId10"/>
    <sheet name="Module Programming" sheetId="10" r:id="rId11"/>
    <sheet name="Emergency Shutdown" sheetId="11" state="hidden" r:id="rId12"/>
    <sheet name="troubleshooting" sheetId="15" r:id="rId13"/>
    <sheet name="Module Connection Reference" sheetId="12" r:id="rId14"/>
    <sheet name="list" sheetId="17" r:id="rId15"/>
  </sheets>
  <definedNames>
    <definedName name="connect_to">#REF!</definedName>
    <definedName name="connect_to_2">#REF!</definedName>
    <definedName name="connection">#REF!</definedName>
    <definedName name="ConnectionTypesNoW2W" localSheetId="14">list!$E$4:$E$6</definedName>
    <definedName name="ConnectionTypesNoW2W">#REF!</definedName>
    <definedName name="function_descriptions">#REF!</definedName>
    <definedName name="Polarity">#REF!</definedName>
    <definedName name="state" localSheetId="14">list!$E$31:$E$33</definedName>
    <definedName name="state">#REF!</definedName>
    <definedName name="Tags">#REF!</definedName>
    <definedName name="Z_25BFA7C9_9C08_4E2D_B44F_21E683ECAB75_.wvu.Rows" localSheetId="2" hidden="1">'Install 40x ORI'!$47:$49</definedName>
    <definedName name="Z_25BFA7C9_9C08_4E2D_B44F_21E683ECAB75_.wvu.Rows" localSheetId="3" hidden="1">'Install 40x RSR'!#REF!</definedName>
    <definedName name="Z_25BFA7C9_9C08_4E2D_B44F_21E683ECAB75_.wvu.Rows" localSheetId="4" hidden="1">'Install 40x RXT'!#REF!</definedName>
    <definedName name="Z_25BFA7C9_9C08_4E2D_B44F_21E683ECAB75_.wvu.Rows" localSheetId="7" hidden="1">LED!#REF!,LED!#REF!,LED!$26:$41</definedName>
    <definedName name="Z_31D107EB_A48D_4232_90AA_7BB972732D83_.wvu.Cols" localSheetId="10" hidden="1">'Module Programming'!#REF!</definedName>
    <definedName name="Z_31D107EB_A48D_4232_90AA_7BB972732D83_.wvu.PrintArea" localSheetId="10" hidden="1">'Module Programming'!#REF!</definedName>
    <definedName name="Z_31D107EB_A48D_4232_90AA_7BB972732D83_.wvu.Rows" localSheetId="2" hidden="1">'Install 40x ORI'!$47:$49</definedName>
    <definedName name="Z_31D107EB_A48D_4232_90AA_7BB972732D83_.wvu.Rows" localSheetId="3" hidden="1">'Install 40x RSR'!#REF!</definedName>
    <definedName name="Z_31D107EB_A48D_4232_90AA_7BB972732D83_.wvu.Rows" localSheetId="4" hidden="1">'Install 40x RXT'!#REF!</definedName>
    <definedName name="Z_31D107EB_A48D_4232_90AA_7BB972732D83_.wvu.Rows" localSheetId="7" hidden="1">LED!#REF!,LED!#REF!,LED!$26:$41</definedName>
    <definedName name="Z_31D107EB_A48D_4232_90AA_7BB972732D83_.wvu.Rows" localSheetId="10" hidden="1">'Module Programming'!#REF!,'Module Programming'!$5:$12</definedName>
    <definedName name="Z_5E8C3AE4_233F_4E25_872C_6621CB9B96CA_.wvu.Rows" localSheetId="2" hidden="1">'Install 40x ORI'!$47:$49</definedName>
    <definedName name="Z_5E8C3AE4_233F_4E25_872C_6621CB9B96CA_.wvu.Rows" localSheetId="3" hidden="1">'Install 40x RSR'!#REF!</definedName>
    <definedName name="Z_5E8C3AE4_233F_4E25_872C_6621CB9B96CA_.wvu.Rows" localSheetId="4" hidden="1">'Install 40x RXT'!#REF!</definedName>
    <definedName name="Z_5E8C3AE4_233F_4E25_872C_6621CB9B96CA_.wvu.Rows" localSheetId="7" hidden="1">LED!#REF!,LED!#REF!,LED!$26:$41</definedName>
    <definedName name="Z_7ADF16FD_9B7D_42F1_AFE6_6E8D21F9D09B_.wvu.Cols" localSheetId="10" hidden="1">'Module Programming'!#REF!</definedName>
    <definedName name="Z_7ADF16FD_9B7D_42F1_AFE6_6E8D21F9D09B_.wvu.Rows" localSheetId="2" hidden="1">'Install 40x ORI'!$47:$49</definedName>
    <definedName name="Z_7ADF16FD_9B7D_42F1_AFE6_6E8D21F9D09B_.wvu.Rows" localSheetId="3" hidden="1">'Install 40x RSR'!#REF!</definedName>
    <definedName name="Z_7ADF16FD_9B7D_42F1_AFE6_6E8D21F9D09B_.wvu.Rows" localSheetId="4" hidden="1">'Install 40x RXT'!#REF!</definedName>
    <definedName name="Z_7ADF16FD_9B7D_42F1_AFE6_6E8D21F9D09B_.wvu.Rows" localSheetId="7" hidden="1">LED!#REF!,LED!#REF!,LED!$26:$41</definedName>
    <definedName name="Z_7ADF16FD_9B7D_42F1_AFE6_6E8D21F9D09B_.wvu.Rows" localSheetId="10" hidden="1">'Module Programming'!#REF!,'Module Programming'!$5:$12</definedName>
    <definedName name="Z_C845FD7F_3CB2_4CBC_892C_E2474769F660_.wvu.Rows" localSheetId="7" hidden="1">LED!#REF!,LED!#REF!,LED!$26:$41</definedName>
    <definedName name="Z_E5A90478_501D_42C6_86FE_EBC9FB0438FD_.wvu.Rows" localSheetId="2" hidden="1">'Install 40x ORI'!$47:$49</definedName>
    <definedName name="Z_E5A90478_501D_42C6_86FE_EBC9FB0438FD_.wvu.Rows" localSheetId="3" hidden="1">'Install 40x RSR'!#REF!</definedName>
    <definedName name="Z_E5A90478_501D_42C6_86FE_EBC9FB0438FD_.wvu.Rows" localSheetId="4" hidden="1">'Install 40x RXT'!#REF!</definedName>
    <definedName name="Z_E5A90478_501D_42C6_86FE_EBC9FB0438FD_.wvu.Rows" localSheetId="7" hidden="1">LED!#REF!,LED!#REF!,LED!$26:$41</definedName>
    <definedName name="Z_EE8DE643_7531_4BA6_A2AE_CA7A0FACFBB5_.wvu.Rows" localSheetId="2" hidden="1">'Install 40x ORI'!#REF!</definedName>
    <definedName name="Z_EE8DE643_7531_4BA6_A2AE_CA7A0FACFBB5_.wvu.Rows" localSheetId="3" hidden="1">'Install 40x RSR'!#REF!</definedName>
    <definedName name="Z_EE8DE643_7531_4BA6_A2AE_CA7A0FACFBB5_.wvu.Rows" localSheetId="4" hidden="1">'Install 40x RXT'!#REF!</definedName>
    <definedName name="Z_EE8DE643_7531_4BA6_A2AE_CA7A0FACFBB5_.wvu.Rows" localSheetId="7" hidden="1">LED!$26:$41,LED!$49:$52,LED!$54:$68</definedName>
  </definedNames>
  <calcPr calcId="191028"/>
  <customWorkbookViews>
    <customWorkbookView name="Martin Bouchard - Personal View" guid="{C845FD7F-3CB2-4CBC-892C-E2474769F660}" mergeInterval="0" personalView="1" maximized="1" windowWidth="1920" windowHeight="975" tabRatio="802" activeSheetId="2"/>
    <customWorkbookView name="Valerie Martin - Personal View" guid="{25BFA7C9-9C08-4E2D-B44F-21E683ECAB75}" mergeInterval="0" personalView="1" maximized="1" xWindow="-8" yWindow="-8" windowWidth="1936" windowHeight="1170" tabRatio="802" activeSheetId="7"/>
    <customWorkbookView name="Patrick Gosselin - Personal View" guid="{7ADF16FD-9B7D-42F1-AFE6-6E8D21F9D09B}" mergeInterval="0" personalView="1" maximized="1" windowWidth="1920" windowHeight="833" tabRatio="802" activeSheetId="10"/>
    <customWorkbookView name="martin.bouchard - Personal View" guid="{31D107EB-A48D-4232-90AA-7BB972732D83}" mergeInterval="0" personalView="1" maximized="1" xWindow="1" yWindow="1" windowWidth="1280" windowHeight="799" tabRatio="802" activeSheetId="9"/>
    <customWorkbookView name="Christine Pion - Personal View" guid="{EE8DE643-7531-4BA6-A2AE-CA7A0FACFBB5}" mergeInterval="0" personalView="1" maximized="1" windowWidth="1280" windowHeight="838" tabRatio="802" activeSheetId="2"/>
    <customWorkbookView name="Luc Samson - Personal View" guid="{5E8C3AE4-233F-4E25-872C-6621CB9B96CA}" mergeInterval="0" personalView="1" maximized="1" xWindow="-8" yWindow="-8" windowWidth="1936" windowHeight="1056" tabRatio="802" activeSheetId="9"/>
    <customWorkbookView name="Sebastien Jean-Mortel - Personal View" guid="{E5A90478-501D-42C6-86FE-EBC9FB0438FD}" mergeInterval="0" personalView="1" maximized="1" windowWidth="1280" windowHeight="838" tabRatio="802"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 l="1"/>
  <c r="B5" i="14"/>
  <c r="B4" i="14"/>
  <c r="B7" i="14"/>
  <c r="B8" i="14"/>
  <c r="B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tc={B9054140-F3A4-4147-A55A-E5CF857E4DAB}</author>
  </authors>
  <commentList>
    <comment ref="F42" authorId="0" shapeId="0" xr:uid="{B9054140-F3A4-4147-A55A-E5CF857E4D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@Adrian Mojoatca 
Starter input nu era activ aici, l-am trecut eu.</t>
      </text>
    </comment>
  </commentList>
</comments>
</file>

<file path=xl/sharedStrings.xml><?xml version="1.0" encoding="utf-8"?>
<sst xmlns="http://schemas.openxmlformats.org/spreadsheetml/2006/main" count="2785" uniqueCount="970">
  <si>
    <t>Module Features</t>
  </si>
  <si>
    <t>Name</t>
  </si>
  <si>
    <t>40x 
D2D</t>
  </si>
  <si>
    <t>40x 
W2W</t>
  </si>
  <si>
    <t>800 
D2D</t>
  </si>
  <si>
    <t>933 
D2D</t>
  </si>
  <si>
    <t xml:space="preserve">AV-Auto Headlamp Shutoff </t>
  </si>
  <si>
    <t xml:space="preserve">AV-Panic Mode Activation </t>
  </si>
  <si>
    <t xml:space="preserve">AV-Parking Lights Control </t>
  </si>
  <si>
    <t xml:space="preserve">CC-Comfort Closure windows </t>
  </si>
  <si>
    <t xml:space="preserve">CC-Heated Mirrors </t>
  </si>
  <si>
    <t xml:space="preserve">CC-Heated Seats Activation </t>
  </si>
  <si>
    <t xml:space="preserve">CC-Power Sunroof </t>
  </si>
  <si>
    <t xml:space="preserve">CC-Power Windows Rolldown </t>
  </si>
  <si>
    <t xml:space="preserve">CC-Power Windows Rollup </t>
  </si>
  <si>
    <t xml:space="preserve">CC-Rear Window Defogger Activation </t>
  </si>
  <si>
    <t xml:space="preserve">DL-Arm Factory Security </t>
  </si>
  <si>
    <t xml:space="preserve">DL-Disarm Factory Security </t>
  </si>
  <si>
    <t xml:space="preserve">DL-Door Lock Control </t>
  </si>
  <si>
    <t xml:space="preserve">DL-Door Unlock </t>
  </si>
  <si>
    <t xml:space="preserve">DL-Driver Priority Unlock </t>
  </si>
  <si>
    <t xml:space="preserve">DL-Fuel Door Release </t>
  </si>
  <si>
    <t xml:space="preserve">DL-Hatch Glass Release </t>
  </si>
  <si>
    <t xml:space="preserve">DL-Sliding Door Control Driver </t>
  </si>
  <si>
    <t xml:space="preserve">DL-Sliding Door Control Passenger </t>
  </si>
  <si>
    <t xml:space="preserve">DL-Trunk / Hatch Release </t>
  </si>
  <si>
    <t>DS4+ Only</t>
  </si>
  <si>
    <t xml:space="preserve">FOB-Control of aftermarket alarm with OEM remote </t>
  </si>
  <si>
    <t>PK-Immobilizer Bypass-Data No Key Req'd</t>
  </si>
  <si>
    <t xml:space="preserve">PK-Universal RF Bypass- Key Req'd </t>
  </si>
  <si>
    <t xml:space="preserve">RS-3x LOCK START (Start control using OEM Remote) </t>
  </si>
  <si>
    <t xml:space="preserve">RS-3x LOCK STOP (Start control using OEM Remote) </t>
  </si>
  <si>
    <t xml:space="preserve">RS-OEM Remote Start Activation using XL-202 or RF kit </t>
  </si>
  <si>
    <t xml:space="preserve">RS-RAP Shut Down (Retained ACC Power) </t>
  </si>
  <si>
    <t xml:space="preserve">RS-Remote Start Ready </t>
  </si>
  <si>
    <t xml:space="preserve">RS-Smart Start </t>
  </si>
  <si>
    <t xml:space="preserve">RS-Tach / RPM Output </t>
  </si>
  <si>
    <t xml:space="preserve">SS-Entry Monitoring ALL Door Pins </t>
  </si>
  <si>
    <t xml:space="preserve">SS-Entry Monitoring Hood Pin </t>
  </si>
  <si>
    <t xml:space="preserve">SS-Entry Monitoring Trunk/Hatch Pin </t>
  </si>
  <si>
    <t xml:space="preserve">SS-Factory Alarm Trigger Monitoring </t>
  </si>
  <si>
    <t xml:space="preserve">ST-Brake Status (foot brake) </t>
  </si>
  <si>
    <t xml:space="preserve">ST-Door Locks Status </t>
  </si>
  <si>
    <t xml:space="preserve">ST-Hand Brake Status </t>
  </si>
  <si>
    <t xml:space="preserve">ST-Ignition Status </t>
  </si>
  <si>
    <t>Key2Go</t>
  </si>
  <si>
    <t>Require</t>
  </si>
  <si>
    <t>Optional</t>
  </si>
  <si>
    <t>Command</t>
  </si>
  <si>
    <t>Acossiate Function</t>
  </si>
  <si>
    <t>LOCK INPUT</t>
  </si>
  <si>
    <t>UNLOCK INPUT</t>
  </si>
  <si>
    <t>TRUNK INPUT</t>
  </si>
  <si>
    <t>AUX1 INPUT</t>
  </si>
  <si>
    <t>AUX2 INPUT</t>
  </si>
  <si>
    <t>AUX3 INPUT</t>
  </si>
  <si>
    <t>**the list will update based on install ORI info</t>
  </si>
  <si>
    <t>Module Connections Original</t>
  </si>
  <si>
    <t>12 PINS CONNECTOR</t>
  </si>
  <si>
    <t>PIN</t>
  </si>
  <si>
    <t xml:space="preserve">NAME </t>
  </si>
  <si>
    <t>POLARITY</t>
  </si>
  <si>
    <t>COLOR</t>
  </si>
  <si>
    <t>CONNECTION</t>
  </si>
  <si>
    <t>FUNCTION</t>
  </si>
  <si>
    <t>CONNECT TO</t>
  </si>
  <si>
    <t>TAG</t>
  </si>
  <si>
    <t>NOTE</t>
  </si>
  <si>
    <t>OUTPUT1(-)</t>
  </si>
  <si>
    <t>(-)</t>
  </si>
  <si>
    <t>Light Green/Black</t>
  </si>
  <si>
    <t>Mandatory</t>
  </si>
  <si>
    <t>E-Brake Output</t>
  </si>
  <si>
    <t>Remote Starter</t>
  </si>
  <si>
    <t>OUTPUT2(-)</t>
  </si>
  <si>
    <t>GREEN/BLACK</t>
  </si>
  <si>
    <t>Hazard Light Output</t>
  </si>
  <si>
    <t>Vehicle</t>
  </si>
  <si>
    <t>OUTPUT3(-)</t>
  </si>
  <si>
    <t>GREEN/WHITE</t>
  </si>
  <si>
    <t>Door Output</t>
  </si>
  <si>
    <t>OUTPUT4(-)</t>
  </si>
  <si>
    <t>RED/BLACK</t>
  </si>
  <si>
    <t>Trunk Output</t>
  </si>
  <si>
    <t>TACH</t>
  </si>
  <si>
    <t>(AC)</t>
  </si>
  <si>
    <t>VIOLET/WHITE</t>
  </si>
  <si>
    <t>W2W Only</t>
  </si>
  <si>
    <t>Tach Output</t>
  </si>
  <si>
    <t>OUTPUT1(+)</t>
  </si>
  <si>
    <t>(+)</t>
  </si>
  <si>
    <t>GRAY</t>
  </si>
  <si>
    <t>PTS</t>
  </si>
  <si>
    <t>OUTPUT2(+)</t>
  </si>
  <si>
    <t>GRAY/BLACK</t>
  </si>
  <si>
    <t xml:space="preserve">Ignition Output </t>
  </si>
  <si>
    <t>ANALOG IN</t>
  </si>
  <si>
    <t>(MUX)</t>
  </si>
  <si>
    <t>VIOLET/GREEN</t>
  </si>
  <si>
    <t>No Connection</t>
  </si>
  <si>
    <t>ANALOG OUT</t>
  </si>
  <si>
    <t>VIOLET/BROWN</t>
  </si>
  <si>
    <t>Clutch Activation Output</t>
  </si>
  <si>
    <t>ISO1</t>
  </si>
  <si>
    <t>YELLOW/BLACK</t>
  </si>
  <si>
    <t>TX</t>
  </si>
  <si>
    <t>ISO2</t>
  </si>
  <si>
    <t>ORANGE/BLACK</t>
  </si>
  <si>
    <t>RX</t>
  </si>
  <si>
    <t>OUTPUT5(-)</t>
  </si>
  <si>
    <t>BLUE/RED</t>
  </si>
  <si>
    <t>14 PINS CONNECTOR</t>
  </si>
  <si>
    <t>SW CAN</t>
  </si>
  <si>
    <t>(DATA)</t>
  </si>
  <si>
    <t>LIGHT GREEN</t>
  </si>
  <si>
    <t>J1850</t>
  </si>
  <si>
    <t>VIOLET/YELLOW</t>
  </si>
  <si>
    <t>CAN1 HI</t>
  </si>
  <si>
    <t>TAN/BLACK</t>
  </si>
  <si>
    <t>HS CAN High</t>
  </si>
  <si>
    <t>CAN1 LO</t>
  </si>
  <si>
    <t>TAN</t>
  </si>
  <si>
    <t>HS CAN Low</t>
  </si>
  <si>
    <t>CAN2 HI</t>
  </si>
  <si>
    <t>ORANGE/GREEN</t>
  </si>
  <si>
    <t>CAN2 LO</t>
  </si>
  <si>
    <t>ORANGE/BROWN</t>
  </si>
  <si>
    <t>NO RELAY1</t>
  </si>
  <si>
    <t>Relay N.O.</t>
  </si>
  <si>
    <t>BROWN</t>
  </si>
  <si>
    <t>COMMON RELAY1</t>
  </si>
  <si>
    <t>Relay COM</t>
  </si>
  <si>
    <t>YELLOW</t>
  </si>
  <si>
    <t>NC RELAY1</t>
  </si>
  <si>
    <t>Relay N.C.</t>
  </si>
  <si>
    <t>ORANGE or ORANGE/YELLOW</t>
  </si>
  <si>
    <t>NC RELAY2</t>
  </si>
  <si>
    <t>ORANGE/RED</t>
  </si>
  <si>
    <t>COMMON RELAY2</t>
  </si>
  <si>
    <t>YELLOW/RED</t>
  </si>
  <si>
    <t>NO RELAY2</t>
  </si>
  <si>
    <t>BROWN/RED</t>
  </si>
  <si>
    <t>VBAT</t>
  </si>
  <si>
    <t>RED</t>
  </si>
  <si>
    <t>12 Volt</t>
  </si>
  <si>
    <t>12 Volts</t>
  </si>
  <si>
    <t>GND</t>
  </si>
  <si>
    <t>BLACK</t>
  </si>
  <si>
    <t>Ground</t>
  </si>
  <si>
    <t>10 PINS CONNECTOR</t>
  </si>
  <si>
    <t>GREEN</t>
  </si>
  <si>
    <t>Lock Input</t>
  </si>
  <si>
    <t>BLUE</t>
  </si>
  <si>
    <t>Unlock Input</t>
  </si>
  <si>
    <t>RED/WHITE</t>
  </si>
  <si>
    <t>Trunk Input</t>
  </si>
  <si>
    <t>WHITE/VIOLET</t>
  </si>
  <si>
    <t>VIOLET/BLACK</t>
  </si>
  <si>
    <t>WHITE/BLACK</t>
  </si>
  <si>
    <t xml:space="preserve">POS1 INPUT </t>
  </si>
  <si>
    <t>PINK/WHITE</t>
  </si>
  <si>
    <t>Pk Light Input</t>
  </si>
  <si>
    <t xml:space="preserve">START RS INPUT (+) </t>
  </si>
  <si>
    <t>VIOLET</t>
  </si>
  <si>
    <t>Starter Input</t>
  </si>
  <si>
    <t>IGN RS INPUT (+)</t>
  </si>
  <si>
    <t>PINK</t>
  </si>
  <si>
    <t>Ignition Input</t>
  </si>
  <si>
    <t>GWR RS INPUT ( - )</t>
  </si>
  <si>
    <t>BLUE/WHITE</t>
  </si>
  <si>
    <t>2 PINS CONNECTOR</t>
  </si>
  <si>
    <t>RF_LOOP</t>
  </si>
  <si>
    <t>NA</t>
  </si>
  <si>
    <t>Module Connections RSR</t>
  </si>
  <si>
    <t>BLACK/WHITE</t>
  </si>
  <si>
    <t>Module Connections RXT</t>
  </si>
  <si>
    <t>Module Connections CM800</t>
  </si>
  <si>
    <t>16 PINS CONNECTOR  BLACK CN2</t>
  </si>
  <si>
    <t xml:space="preserve">DAC_OUT </t>
  </si>
  <si>
    <t>Violet/Brown</t>
  </si>
  <si>
    <t>PHAL1</t>
  </si>
  <si>
    <t>(Data)</t>
  </si>
  <si>
    <t>Yellow/Black</t>
  </si>
  <si>
    <t>PHAL2</t>
  </si>
  <si>
    <t>Orange/Black</t>
  </si>
  <si>
    <t>Tan</t>
  </si>
  <si>
    <t>Tan/Black</t>
  </si>
  <si>
    <t>CAN SW</t>
  </si>
  <si>
    <t>Light Green</t>
  </si>
  <si>
    <t>Orange/Green</t>
  </si>
  <si>
    <t>Orange/Brown</t>
  </si>
  <si>
    <t>AD_IN</t>
  </si>
  <si>
    <t>Violet/Green</t>
  </si>
  <si>
    <t xml:space="preserve">OUT1     </t>
  </si>
  <si>
    <t>Green/Black</t>
  </si>
  <si>
    <t xml:space="preserve">OUT7    </t>
  </si>
  <si>
    <t>White/Violet</t>
  </si>
  <si>
    <t xml:space="preserve">OUT7     </t>
  </si>
  <si>
    <t>White/Red</t>
  </si>
  <si>
    <t xml:space="preserve">OUT13   </t>
  </si>
  <si>
    <t>Lt. Blue/Black</t>
  </si>
  <si>
    <t xml:space="preserve">OUT6    </t>
  </si>
  <si>
    <t>Green/Red</t>
  </si>
  <si>
    <t>---</t>
  </si>
  <si>
    <t>N/A</t>
  </si>
  <si>
    <t>Violet/Yellow</t>
  </si>
  <si>
    <t>18 PINS CONNECTOR  WHITE CN3</t>
  </si>
  <si>
    <t xml:space="preserve">IN_NEG2                 </t>
  </si>
  <si>
    <t>Lt. Blue/Red</t>
  </si>
  <si>
    <t xml:space="preserve">IN_NEG4 (Handbrake)                  </t>
  </si>
  <si>
    <t>Black/White</t>
  </si>
  <si>
    <t xml:space="preserve">IN_NEG5 (Hood)                 </t>
  </si>
  <si>
    <t xml:space="preserve">Gray </t>
  </si>
  <si>
    <t xml:space="preserve">IN_POS1                  </t>
  </si>
  <si>
    <t>Gray/Black</t>
  </si>
  <si>
    <t>IN_TACH</t>
  </si>
  <si>
    <t>Violet/White</t>
  </si>
  <si>
    <t xml:space="preserve">OUT5 (Unlock)          </t>
  </si>
  <si>
    <t>Dk. Blue</t>
  </si>
  <si>
    <t xml:space="preserve">OUT14 (Siren/Horn)      </t>
  </si>
  <si>
    <t>Brown/Black</t>
  </si>
  <si>
    <t xml:space="preserve">OUT4 (Trunk release)       </t>
  </si>
  <si>
    <t>Red/White</t>
  </si>
  <si>
    <t xml:space="preserve">IN_NP (Door in)                       </t>
  </si>
  <si>
    <t>White/Green</t>
  </si>
  <si>
    <t xml:space="preserve">IN_NP (Door In)                      </t>
  </si>
  <si>
    <t>Yellow/Green</t>
  </si>
  <si>
    <t xml:space="preserve">IN_NEG3     </t>
  </si>
  <si>
    <t>Blue/Red</t>
  </si>
  <si>
    <t xml:space="preserve">IN_NEG7 (Trunk)               </t>
  </si>
  <si>
    <t>Lt. Blue</t>
  </si>
  <si>
    <t xml:space="preserve">IN_NEG1 (Start trigger Enabled)       </t>
  </si>
  <si>
    <t>Pink/Yelow</t>
  </si>
  <si>
    <t xml:space="preserve">OUT3  (Lock)                     </t>
  </si>
  <si>
    <t>Dk. Green</t>
  </si>
  <si>
    <t xml:space="preserve">IN_POS2 (Brake In)                </t>
  </si>
  <si>
    <t>Brown/White</t>
  </si>
  <si>
    <t>OUT_SIREN (Siren)</t>
  </si>
  <si>
    <t>Brown</t>
  </si>
  <si>
    <t xml:space="preserve">OUT2 (Ground while running Status)          </t>
  </si>
  <si>
    <t>Blue/White</t>
  </si>
  <si>
    <t>7 PINS CONNECTOR  WHITE CN9</t>
  </si>
  <si>
    <t xml:space="preserve">OUT12 (Anti-Grind)            </t>
  </si>
  <si>
    <t>Orange/White</t>
  </si>
  <si>
    <t>XRP POWER  OUT</t>
  </si>
  <si>
    <t>Red/Black</t>
  </si>
  <si>
    <t xml:space="preserve">OUT8 (Ignition 2)              </t>
  </si>
  <si>
    <t>Pink/White</t>
  </si>
  <si>
    <t xml:space="preserve">OUT9 (Accessory)             </t>
  </si>
  <si>
    <t>Orange</t>
  </si>
  <si>
    <t xml:space="preserve">OUT10 (Ignition 1 [Main] )          </t>
  </si>
  <si>
    <t>Pink/Black</t>
  </si>
  <si>
    <t xml:space="preserve">OUT11 (Starter)           </t>
  </si>
  <si>
    <t>Violet</t>
  </si>
  <si>
    <t xml:space="preserve">IN_POS3 (Ignition)        </t>
  </si>
  <si>
    <t xml:space="preserve">Pink </t>
  </si>
  <si>
    <t>8 PINS CONNECTOR  RELAY PACK</t>
  </si>
  <si>
    <t>IGNITION 2 / FLEX RELAY OUTPUT</t>
  </si>
  <si>
    <t>FUSED IGNITION 2 / FLEX RELAY INPUT</t>
  </si>
  <si>
    <t>IGNITION 1 INPUT / OUTPUT</t>
  </si>
  <si>
    <t>Pink</t>
  </si>
  <si>
    <t>FUSED IGNITION 1 INPUT</t>
  </si>
  <si>
    <t>Red</t>
  </si>
  <si>
    <t>ACCESSORY OUTPUT</t>
  </si>
  <si>
    <t>FUSED ACCESSORY / STARTER INPUT</t>
  </si>
  <si>
    <t>STARTER INPUT (KEY SIDE)</t>
  </si>
  <si>
    <t>Green</t>
  </si>
  <si>
    <t>STARTER OUTPUT (CAR SIDE)</t>
  </si>
  <si>
    <t>12 PINS CONNECTOR  WHITE NO</t>
  </si>
  <si>
    <t>1</t>
  </si>
  <si>
    <t>COM  RELAY3</t>
  </si>
  <si>
    <t>White</t>
  </si>
  <si>
    <t>2</t>
  </si>
  <si>
    <t>NO     RELAY3</t>
  </si>
  <si>
    <t>White/Brown</t>
  </si>
  <si>
    <t>3</t>
  </si>
  <si>
    <t>NO     RELAY2</t>
  </si>
  <si>
    <t>Brown/Red</t>
  </si>
  <si>
    <t>Key Wrap</t>
  </si>
  <si>
    <t>4</t>
  </si>
  <si>
    <t>COM RELAY2</t>
  </si>
  <si>
    <t>Yellow/Red</t>
  </si>
  <si>
    <t>5</t>
  </si>
  <si>
    <t>NC      RELAY2</t>
  </si>
  <si>
    <t>Orange/Red</t>
  </si>
  <si>
    <t>6</t>
  </si>
  <si>
    <t>COM  RELAY1</t>
  </si>
  <si>
    <t>Yellow</t>
  </si>
  <si>
    <t xml:space="preserve">Parking Lights Interrupt </t>
  </si>
  <si>
    <t>7</t>
  </si>
  <si>
    <t>8</t>
  </si>
  <si>
    <t>NO      RELAY3</t>
  </si>
  <si>
    <t>9</t>
  </si>
  <si>
    <t xml:space="preserve">Black </t>
  </si>
  <si>
    <t>10</t>
  </si>
  <si>
    <t>11</t>
  </si>
  <si>
    <t>Orange/Yellow</t>
  </si>
  <si>
    <t>12</t>
  </si>
  <si>
    <t>Pk Light Output</t>
  </si>
  <si>
    <t>Parking Lights (+)</t>
  </si>
  <si>
    <t>Module Connections 933</t>
  </si>
  <si>
    <t>10 PINS CONNECTOR  MAIN IGNITION HARNESS</t>
  </si>
  <si>
    <t>DEFAULT FUNCTION</t>
  </si>
  <si>
    <t>Accessory/Start Input</t>
  </si>
  <si>
    <t>Output 8</t>
  </si>
  <si>
    <t>Flex Relay N.C.</t>
  </si>
  <si>
    <t>Flex Relay Output</t>
  </si>
  <si>
    <t>Output 12</t>
  </si>
  <si>
    <t>Starter Kill Key side</t>
  </si>
  <si>
    <t>Output 11</t>
  </si>
  <si>
    <t>Starter Output</t>
  </si>
  <si>
    <t>Output 9</t>
  </si>
  <si>
    <t>Accessory Output</t>
  </si>
  <si>
    <t>Flex Relay Input (N/O)</t>
  </si>
  <si>
    <t>Output 10/Ignition Input</t>
  </si>
  <si>
    <t>Ignition Output</t>
  </si>
  <si>
    <t>12 PINS CONNECTOR  RELAY HARNESS</t>
  </si>
  <si>
    <t>Relay1 N.C.</t>
  </si>
  <si>
    <t>Programmable</t>
  </si>
  <si>
    <t>PTS 1</t>
  </si>
  <si>
    <t>Relay1 N.O.</t>
  </si>
  <si>
    <t>Relay1 Com</t>
  </si>
  <si>
    <t>Blue</t>
  </si>
  <si>
    <t>Relay3 N.C.</t>
  </si>
  <si>
    <t>Relay3 Com</t>
  </si>
  <si>
    <t>12V</t>
  </si>
  <si>
    <t>Constant 12V</t>
  </si>
  <si>
    <t>Relay2  N.O.</t>
  </si>
  <si>
    <t>Light Green/Red</t>
  </si>
  <si>
    <t>Clutch Pedal</t>
  </si>
  <si>
    <t>Relay2 Com</t>
  </si>
  <si>
    <t>Relay2 N.C.</t>
  </si>
  <si>
    <t>Light Green/White</t>
  </si>
  <si>
    <t>Black</t>
  </si>
  <si>
    <t>22 PINS CONNECTOR  INPUT/OUTPUT HARNESS</t>
  </si>
  <si>
    <t>Output1</t>
  </si>
  <si>
    <t>FAA Output</t>
  </si>
  <si>
    <t>Output2</t>
  </si>
  <si>
    <t>GWR/Status  Output</t>
  </si>
  <si>
    <t>Hazards</t>
  </si>
  <si>
    <t>Output3</t>
  </si>
  <si>
    <t>Lock Output</t>
  </si>
  <si>
    <t>Output4</t>
  </si>
  <si>
    <t>Trunk release Output</t>
  </si>
  <si>
    <t>Horn Output</t>
  </si>
  <si>
    <t>Horn Trigger</t>
  </si>
  <si>
    <t>Output7</t>
  </si>
  <si>
    <t>Aux1 Neg Output</t>
  </si>
  <si>
    <t>Aux1 Pos Output</t>
  </si>
  <si>
    <t>Output6</t>
  </si>
  <si>
    <t>Aux4 Output</t>
  </si>
  <si>
    <t>Violet/Black</t>
  </si>
  <si>
    <t>Output5</t>
  </si>
  <si>
    <t>Unlock Output</t>
  </si>
  <si>
    <t>Blue/Black</t>
  </si>
  <si>
    <t>External Device</t>
  </si>
  <si>
    <t>Ground While Arming Status</t>
  </si>
  <si>
    <t>Output13</t>
  </si>
  <si>
    <t>FAD Output</t>
  </si>
  <si>
    <t>Light Blue/Black</t>
  </si>
  <si>
    <t>Ground While Running Status</t>
  </si>
  <si>
    <t>Siren Output</t>
  </si>
  <si>
    <t>Ignition Sense Input</t>
  </si>
  <si>
    <t>Door Input</t>
  </si>
  <si>
    <t>Door Sense Input</t>
  </si>
  <si>
    <t>Brake Sense</t>
  </si>
  <si>
    <t>Brake Sense Input</t>
  </si>
  <si>
    <t>Activation Input</t>
  </si>
  <si>
    <t>White/Blue</t>
  </si>
  <si>
    <t>Aux3 Input</t>
  </si>
  <si>
    <t>Red/Blue</t>
  </si>
  <si>
    <t>Aux2 Input</t>
  </si>
  <si>
    <t>Handbrake Sense Input</t>
  </si>
  <si>
    <t>Aux1 Input</t>
  </si>
  <si>
    <t>Instant Trigger Input</t>
  </si>
  <si>
    <t>Trunk Sense Input</t>
  </si>
  <si>
    <t>Hood Input</t>
  </si>
  <si>
    <t>Hood Pin input</t>
  </si>
  <si>
    <t>Gray</t>
  </si>
  <si>
    <t>Hood Switch Input</t>
  </si>
  <si>
    <t>Hood Pin</t>
  </si>
  <si>
    <t>Tach Input</t>
  </si>
  <si>
    <t>8 PINS CONNECTOR  DATA HARNESS</t>
  </si>
  <si>
    <t>HS CAN Low 1</t>
  </si>
  <si>
    <t>CAN Bus High</t>
  </si>
  <si>
    <t>HS CAN High 1</t>
  </si>
  <si>
    <t>CAN Bus Low</t>
  </si>
  <si>
    <t>HS CAN Low 2</t>
  </si>
  <si>
    <t>HS CAN High 2</t>
  </si>
  <si>
    <t>SW CAN/J1850</t>
  </si>
  <si>
    <t>MUX Input/Output</t>
  </si>
  <si>
    <t>IMMO Data</t>
  </si>
  <si>
    <t>FUSE PANEL</t>
  </si>
  <si>
    <t>IGN (20A)</t>
  </si>
  <si>
    <t>FLEX RLY (20A)</t>
  </si>
  <si>
    <t>ACC &amp; START (30A)</t>
  </si>
  <si>
    <t>RLY3 PK LIGHT (15A)</t>
  </si>
  <si>
    <t>MAIN (5A)</t>
  </si>
  <si>
    <t>MODULE POWER</t>
  </si>
  <si>
    <t>LED Diagnostics &amp; Troubleshooting</t>
  </si>
  <si>
    <t>* Note to ENG: Only modify the text for custom LED flashes if required. All other LED flash patterns are to remain the same.</t>
  </si>
  <si>
    <t>Status</t>
  </si>
  <si>
    <t>Description</t>
  </si>
  <si>
    <t>Troubleshooting</t>
  </si>
  <si>
    <t>Module programming</t>
  </si>
  <si>
    <t>OFF</t>
  </si>
  <si>
    <t>Module has no power.</t>
  </si>
  <si>
    <t>Make sure the D2D harness is connected and that 12 Volts is present between the red and black wires. If 12 Volts is present, the module may be defective.</t>
  </si>
  <si>
    <t>Solid red</t>
  </si>
  <si>
    <t>Waiting to begin the
programming sequence.</t>
  </si>
  <si>
    <t>Ensure the correct programming procedure is being followed.</t>
  </si>
  <si>
    <t xml:space="preserve">Solid Green </t>
  </si>
  <si>
    <t>Custom2</t>
  </si>
  <si>
    <t>Custom 2.</t>
  </si>
  <si>
    <t xml:space="preserve">Flashes green &amp; red </t>
  </si>
  <si>
    <t>Initialization failed.</t>
  </si>
  <si>
    <t>Reset the module and complete the programming again. If the issue persists, please contact Technical Support.</t>
  </si>
  <si>
    <t>Solid orange</t>
  </si>
  <si>
    <t>Transponder functions were skipped.</t>
  </si>
  <si>
    <t>(If compatible) when RXT mode is not desired or convenience features are needed, please reset the and reprogram the module.</t>
  </si>
  <si>
    <t>Flashes red</t>
  </si>
  <si>
    <t>Custom 1.</t>
  </si>
  <si>
    <t>Flashes green</t>
  </si>
  <si>
    <t>All required CAN networks  have been detected.</t>
  </si>
  <si>
    <t>Normal operation.</t>
  </si>
  <si>
    <t>Flashes orange</t>
  </si>
  <si>
    <t>1 of 2 CAN networks has been detected.</t>
  </si>
  <si>
    <t>Flashes orange slowly</t>
  </si>
  <si>
    <t>Key2GO Initiated.</t>
  </si>
  <si>
    <t>Please follow the steps indicated in "Module programming" to complete the Key2GO programming.</t>
  </si>
  <si>
    <t>Solid green x 3 secs</t>
  </si>
  <si>
    <t>Module was successfully
programmed with all functions.</t>
  </si>
  <si>
    <t>Solid orange x 3 secs</t>
  </si>
  <si>
    <t>Module was successfully
programmed without transponder functions.</t>
  </si>
  <si>
    <t>Module programming - Error codes</t>
  </si>
  <si>
    <t>Flashes red x 1</t>
  </si>
  <si>
    <t>CAN2 not detected.</t>
  </si>
  <si>
    <t>Check the CAN2 Orange/Green and Orange/Brown wire connections. Wake up the data bus by turning the ignition on and try again. If your installation does not require this connection, skip this step by pressing the programming button 5 times.</t>
  </si>
  <si>
    <t>J1850 not detected.</t>
  </si>
  <si>
    <t>Check the J1850 wire connection. Wake up the data bus by turning the ignition on and try again.</t>
  </si>
  <si>
    <t>Flashes red x 2</t>
  </si>
  <si>
    <t>CAN1  not detected.</t>
  </si>
  <si>
    <t>Check the CAN1 Tan and Tan/Black wire connections. Wake up the data bus by turning the ignition on and try again. If your installation does not require this connection, skip this step by pressing the programming button 5 times.</t>
  </si>
  <si>
    <t>Flashes red x 3</t>
  </si>
  <si>
    <t>Bypass data not detected.</t>
  </si>
  <si>
    <t>Check the bypass line connection. If more than one wire is used, make sure they are not inverted. Ensure the vehicle still operates correctly using the factory key.</t>
  </si>
  <si>
    <t>Flashes red x 4</t>
  </si>
  <si>
    <t>Bypass processing error.</t>
  </si>
  <si>
    <t>The bypass calculation failed. Reset the module and try again. If the condition persists, please contact Technical Support.</t>
  </si>
  <si>
    <t>Flashes red x 5</t>
  </si>
  <si>
    <t>ISO 1 not detected.</t>
  </si>
  <si>
    <t>The Yellow/Black wire did not detect the expected signal.</t>
  </si>
  <si>
    <t>Flashes red x 6</t>
  </si>
  <si>
    <t>ISO 2 not detected.</t>
  </si>
  <si>
    <t>The Orange/Black wire did not detect the expected signal.</t>
  </si>
  <si>
    <t>Flashes red x 7</t>
  </si>
  <si>
    <t>MUX not detected.</t>
  </si>
  <si>
    <t>The Violet/Green or Violet/Brown wire did not detect the expected voltage value.</t>
  </si>
  <si>
    <t>Flashes red x 8</t>
  </si>
  <si>
    <t>Flashes red x 9</t>
  </si>
  <si>
    <t>Custom 3.</t>
  </si>
  <si>
    <t>Flashes red x 10</t>
  </si>
  <si>
    <t>Custom 4.</t>
  </si>
  <si>
    <t>Flashes red x 11</t>
  </si>
  <si>
    <t>Skip Programming</t>
  </si>
  <si>
    <t>if programming BCM still fails after making sure doors are unlocked, press on the reset button 5 times to skip this step.</t>
  </si>
  <si>
    <t>Flashes red x 12</t>
  </si>
  <si>
    <t>BCM Programming</t>
  </si>
  <si>
    <t>Failed to programme the BCM -- Check if doors are locked. If so unlock them to solve the problem</t>
  </si>
  <si>
    <t>External module synchronization</t>
  </si>
  <si>
    <t>Flashes red, red, then orange x 10</t>
  </si>
  <si>
    <t>OBDII feature not supported.</t>
  </si>
  <si>
    <t>The diagnostic data bus was not detected, therefore the SmartStart features will be limited.</t>
  </si>
  <si>
    <t>Active Ground When Running (Status)</t>
  </si>
  <si>
    <t>Ground When Running ON (Status) command received.</t>
  </si>
  <si>
    <t xml:space="preserve">The module has initialized the remote start sequence. </t>
  </si>
  <si>
    <t>Flashes red &amp; orange</t>
  </si>
  <si>
    <t>Ignition ON command received.</t>
  </si>
  <si>
    <t>The module has received the ignition on command and is processing the remote start sequence.</t>
  </si>
  <si>
    <t>Flashes green quickly</t>
  </si>
  <si>
    <t>Start ON command received.</t>
  </si>
  <si>
    <t>The module has received the start on command and is processing the remote start sequence.</t>
  </si>
  <si>
    <t>PTS shutdown error.</t>
  </si>
  <si>
    <t>The PTS output from the module was not activated due to safety protection.</t>
  </si>
  <si>
    <t>Flashes red x 21</t>
  </si>
  <si>
    <t>CAN bus incorrectly detected.</t>
  </si>
  <si>
    <t>Verify the CAN1 and CAN2 connections.</t>
  </si>
  <si>
    <t>Commands</t>
  </si>
  <si>
    <t>Flashes orange x 1</t>
  </si>
  <si>
    <t>LOCK command received.</t>
  </si>
  <si>
    <t>If the bypass module fails to flash, it did not receive the signal.
Commands can come from RF or D2D.</t>
  </si>
  <si>
    <t>Flashes orange x 2</t>
  </si>
  <si>
    <t>UNLOCK command received.</t>
  </si>
  <si>
    <t>Flashes orange x 3</t>
  </si>
  <si>
    <t>TRUNK command received.</t>
  </si>
  <si>
    <t>Flashes orange x 4</t>
  </si>
  <si>
    <t>AUX1 command received.</t>
  </si>
  <si>
    <t>Flashes orange x 5</t>
  </si>
  <si>
    <t>AUX2 command received.</t>
  </si>
  <si>
    <t>Flashes orange x 6</t>
  </si>
  <si>
    <t>AUX3 command received.</t>
  </si>
  <si>
    <t>Shutdown codes</t>
  </si>
  <si>
    <t>Flashes Green x 1</t>
  </si>
  <si>
    <t>Takeover successful.</t>
  </si>
  <si>
    <t>Runsafe was not disabled.</t>
  </si>
  <si>
    <t>No unlock command was received prior to opening the door, or the 45 second timer expired in takeover mode.</t>
  </si>
  <si>
    <t>Brake was not detected.</t>
  </si>
  <si>
    <t>The brakes were not detected, which prevents the system from shutting down the vehicle.</t>
  </si>
  <si>
    <t>Smart key was not detected.</t>
  </si>
  <si>
    <t>The smart key was not detected, which prevents the system from shutting down the vehicle.</t>
  </si>
  <si>
    <t>Speed was detected.</t>
  </si>
  <si>
    <t>The vehicle was detected as moving, which prevents the system from shutting it down.</t>
  </si>
  <si>
    <t>RSR error codes</t>
  </si>
  <si>
    <t>RFTD disabled.</t>
  </si>
  <si>
    <t>3x OEM Lock Remote Start Activation was attempted when the RFTD feature is disabled. Make sure 3x Lock Start is selected from the web in the flashing process.</t>
  </si>
  <si>
    <t>Feature error.</t>
  </si>
  <si>
    <t>An RSR feature file mismatch was detected. Please contact Technical Support.</t>
  </si>
  <si>
    <t>RXT error codes</t>
  </si>
  <si>
    <t>Flashes green x 7</t>
  </si>
  <si>
    <t>Start command received.</t>
  </si>
  <si>
    <t>If the module fails to flash, it did not receive the signal.</t>
  </si>
  <si>
    <t>Flashes green x 8</t>
  </si>
  <si>
    <t>Stop command received.</t>
  </si>
  <si>
    <t>Start fail.</t>
  </si>
  <si>
    <t>The RXT start/stop message was received by the module, but not executed on the vehicle.</t>
  </si>
  <si>
    <t>Stop fail.</t>
  </si>
  <si>
    <t>OEM Remote Start Activation was attempted while the RFTD feature is disabled. Make sure RXT is selected from the web in the flashing process.</t>
  </si>
  <si>
    <t>OEM RS disabled.</t>
  </si>
  <si>
    <t>The factory remote start option is disabled. Refer to the vehicle's owner manual to reactivate the factory remote starter.</t>
  </si>
  <si>
    <t>Analog error code</t>
  </si>
  <si>
    <t xml:space="preserve">Flashes red, green &amp; orange </t>
  </si>
  <si>
    <t>DEI feature error.</t>
  </si>
  <si>
    <t>A feature config file mismatch was detected. Please contact Technical Support.</t>
  </si>
  <si>
    <t>Product Features</t>
  </si>
  <si>
    <t>See Admin/Web</t>
  </si>
  <si>
    <t>Takeover / Pit Mode / special function</t>
  </si>
  <si>
    <t>Takeover</t>
  </si>
  <si>
    <t>Step</t>
  </si>
  <si>
    <t>Press the remote start button on the transmitter to start the vehicle.</t>
  </si>
  <si>
    <t>Press the Unlock button on the factory or aftermarket remote.</t>
  </si>
  <si>
    <t>Complete the following steps within 45 seconds or the vehicle will shut down.</t>
  </si>
  <si>
    <t>Enter the vehicle, while making sure the key is inside with you.</t>
  </si>
  <si>
    <t>Press the brake pedal, put the car in gear and drive off</t>
  </si>
  <si>
    <t>Pit Stop</t>
  </si>
  <si>
    <t>NOTE: If Firmware support 3LS 3x unlock work with idle/Ready Mode</t>
  </si>
  <si>
    <t>Stop the vehicle in a safe parking spot and put the gear in Park (P).</t>
  </si>
  <si>
    <t>Press the button to remote start the vehicle.</t>
  </si>
  <si>
    <t>It is now safe to leave the engine running and exit the vehicle with the Smart Key in hand.</t>
  </si>
  <si>
    <t>Note: We recommend that you always lock the doors of your vehicle when leaving it unattended.</t>
  </si>
  <si>
    <t xml:space="preserve">Module was successfully
programmed with transponder. </t>
  </si>
  <si>
    <t>Invalid CAN Network</t>
  </si>
  <si>
    <t>The CAN was detected but the ignition message on CAN
is not detected. Check if the firmare is correct.</t>
  </si>
  <si>
    <t>VIN Timeout</t>
  </si>
  <si>
    <t>Check your connections to the data bus if sensing is
working (door, trunk). Connect module to Xpresskit and
call Technial Support with the module ID in hand. If
applicable, the new VIN will be added to the solution.</t>
  </si>
  <si>
    <t>Internal error</t>
  </si>
  <si>
    <t xml:space="preserve"> Report issue to technical support</t>
  </si>
  <si>
    <t>sequence required to shutdown while driving (smart key vehicles only)</t>
  </si>
  <si>
    <t>Install Type</t>
  </si>
  <si>
    <t>operation failure list</t>
  </si>
  <si>
    <t>Problem Resolution</t>
  </si>
  <si>
    <t>Connect To</t>
  </si>
  <si>
    <t>Connection</t>
  </si>
  <si>
    <t>State</t>
  </si>
  <si>
    <t>Tag</t>
  </si>
  <si>
    <t>Polarity</t>
  </si>
  <si>
    <t>Function</t>
  </si>
  <si>
    <t>ORI</t>
  </si>
  <si>
    <t>ingnition doesn't turn on</t>
  </si>
  <si>
    <t>power cycle</t>
  </si>
  <si>
    <t>YES</t>
  </si>
  <si>
    <t>RSR</t>
  </si>
  <si>
    <t>car doesnt crank</t>
  </si>
  <si>
    <t>short reset</t>
  </si>
  <si>
    <t>NO</t>
  </si>
  <si>
    <t>Accessory</t>
  </si>
  <si>
    <t>RXT</t>
  </si>
  <si>
    <t>car start and stop</t>
  </si>
  <si>
    <t>hard reset</t>
  </si>
  <si>
    <t>Interface</t>
  </si>
  <si>
    <t>AutoLights</t>
  </si>
  <si>
    <t>12 Volt (battery)</t>
  </si>
  <si>
    <t>CM800</t>
  </si>
  <si>
    <t>car start and stops</t>
  </si>
  <si>
    <t>try programing with Key 2 Go</t>
  </si>
  <si>
    <t>Aux. Audio Input Left (+/-)</t>
  </si>
  <si>
    <t>5 Volt</t>
  </si>
  <si>
    <t>DS4</t>
  </si>
  <si>
    <t>pk light not working</t>
  </si>
  <si>
    <t>Hard wire the signal (TACH)</t>
  </si>
  <si>
    <t>Diode</t>
  </si>
  <si>
    <t>Aux. Audio Input Right (+/-)</t>
  </si>
  <si>
    <t>DS4 plus</t>
  </si>
  <si>
    <t>vehicle light doest turn off after remote starter stop (RAP)</t>
  </si>
  <si>
    <t>Hard wire the signal (Brake)</t>
  </si>
  <si>
    <t>Relay</t>
  </si>
  <si>
    <t>Brake Wire</t>
  </si>
  <si>
    <t>Activation (start) Input</t>
  </si>
  <si>
    <t>vehicle interior control (radio, windows) still operationnal after remote starter stop (RAP)</t>
  </si>
  <si>
    <t>Hard wire the signal (Door)</t>
  </si>
  <si>
    <t>Resistor</t>
  </si>
  <si>
    <t>Brake Pressure Switch</t>
  </si>
  <si>
    <t>Hood shutdown not working  (HOOD sense)</t>
  </si>
  <si>
    <t>Hard wire the signal (H-Brake)</t>
  </si>
  <si>
    <t>Note</t>
  </si>
  <si>
    <t>Alarm Shunt Input</t>
  </si>
  <si>
    <t>Brake shutdown not working (BRAKE sense)</t>
  </si>
  <si>
    <t>Hard wire the signal (Trunk Release)</t>
  </si>
  <si>
    <t>CAN Bus High 2</t>
  </si>
  <si>
    <t>Cut</t>
  </si>
  <si>
    <t>Arm</t>
  </si>
  <si>
    <t>LOCK not working</t>
  </si>
  <si>
    <t>Hard wire the signal (Trunk input)</t>
  </si>
  <si>
    <t>CAN Bus High 3</t>
  </si>
  <si>
    <t>Auto Light</t>
  </si>
  <si>
    <t>UNLOCK DRIVER not working</t>
  </si>
  <si>
    <t>Hard wire the signal (Lock)</t>
  </si>
  <si>
    <t>Aux1  Input</t>
  </si>
  <si>
    <t>UNLOCK ALL not working</t>
  </si>
  <si>
    <t>Hard wire the signal (Unlock)</t>
  </si>
  <si>
    <t>CAN Bus Low 2</t>
  </si>
  <si>
    <t>Aux1  Output</t>
  </si>
  <si>
    <t>TRUNK Release not working</t>
  </si>
  <si>
    <t>Hard wire the signal (Pk Light)</t>
  </si>
  <si>
    <t>CAN Bus Low 3</t>
  </si>
  <si>
    <t xml:space="preserve">Motorize trunk not opening </t>
  </si>
  <si>
    <t>Activate Safe Lock in the RS</t>
  </si>
  <si>
    <t>CAN Bus SW</t>
  </si>
  <si>
    <t>Aux2 Output</t>
  </si>
  <si>
    <t>Motorize trunk not closing</t>
  </si>
  <si>
    <t>De-Activate Safe Lock in the RS</t>
  </si>
  <si>
    <t>Center Channel</t>
  </si>
  <si>
    <t>slidding door not working</t>
  </si>
  <si>
    <t>re do key wrap</t>
  </si>
  <si>
    <t>Center Channel (+/-)</t>
  </si>
  <si>
    <t>Aux3 Output</t>
  </si>
  <si>
    <t>Theft deterent light ON</t>
  </si>
  <si>
    <t>confirm relay connections</t>
  </si>
  <si>
    <t>Brake Activation Output</t>
  </si>
  <si>
    <t>DTC code light ON</t>
  </si>
  <si>
    <t>make sure ISO1 and ISO2 are not reverse</t>
  </si>
  <si>
    <t>CODE</t>
  </si>
  <si>
    <t>Brake Input</t>
  </si>
  <si>
    <t>Ventilation doesnt work</t>
  </si>
  <si>
    <t>Confirm CAN1 connection</t>
  </si>
  <si>
    <t>Data Bus</t>
  </si>
  <si>
    <t>Brake Output</t>
  </si>
  <si>
    <t>Rear defrost doesnt work</t>
  </si>
  <si>
    <t>Confirm CAN2 connection</t>
  </si>
  <si>
    <t>Disarm No Unlock</t>
  </si>
  <si>
    <t>BRX</t>
  </si>
  <si>
    <t>Heated seat doest work</t>
  </si>
  <si>
    <t>confirm wire connection and emplacement</t>
  </si>
  <si>
    <t>Dome Light</t>
  </si>
  <si>
    <t>BTX</t>
  </si>
  <si>
    <t>3x lock start doesnt work</t>
  </si>
  <si>
    <t>hardwire door lock connection</t>
  </si>
  <si>
    <t>Door Lock Data</t>
  </si>
  <si>
    <t>3x lock stop doesnt work</t>
  </si>
  <si>
    <t>Driver Unlock Motor</t>
  </si>
  <si>
    <t>Tach doesnt program (TACH sense)</t>
  </si>
  <si>
    <t>Factory Alarm Arm</t>
  </si>
  <si>
    <t>Disarm</t>
  </si>
  <si>
    <t>MTS mode dont engage (H-Brake,  TACH, Ignition</t>
  </si>
  <si>
    <t>Factory Alarm Disarm</t>
  </si>
  <si>
    <t>Door / Trunk Output</t>
  </si>
  <si>
    <t>Aftermarket alarm dont trigger (door, hood, trunk, ignition sense)</t>
  </si>
  <si>
    <t>Factory Amp Turn-on</t>
  </si>
  <si>
    <t>Aftermarket alarm trigger upon start</t>
  </si>
  <si>
    <t>Fuel Door Release</t>
  </si>
  <si>
    <t>Door Lock Type Input</t>
  </si>
  <si>
    <t>Aftermarket alarm trigger upon remote start stop</t>
  </si>
  <si>
    <t>Fuel Pump</t>
  </si>
  <si>
    <t>Door Lock Toggle Output</t>
  </si>
  <si>
    <t>Aftermarket alarm trigger upon unlock</t>
  </si>
  <si>
    <t>Aftermarket alarm trigger upon door opening</t>
  </si>
  <si>
    <t>Door Trigger Input</t>
  </si>
  <si>
    <t>OEM alarm trigger upon start</t>
  </si>
  <si>
    <t>E-Brake Input</t>
  </si>
  <si>
    <t>OEM alarm trigger upon unlock</t>
  </si>
  <si>
    <t>OEM alarm trigger upon door opening</t>
  </si>
  <si>
    <t>Headlight</t>
  </si>
  <si>
    <t>Factory Alarm Arm (FAA) Output</t>
  </si>
  <si>
    <t xml:space="preserve">OEM alarm trigger upon remote starter stop </t>
  </si>
  <si>
    <t>Headunit</t>
  </si>
  <si>
    <t>Factory Alarm Disarm (FAD) Output</t>
  </si>
  <si>
    <t>OEM alarm doest arm</t>
  </si>
  <si>
    <t>FT CAN High</t>
  </si>
  <si>
    <t>Take over not working</t>
  </si>
  <si>
    <t>FT CAN Low</t>
  </si>
  <si>
    <t xml:space="preserve">Idle mode not working </t>
  </si>
  <si>
    <t>Ignition</t>
  </si>
  <si>
    <t>Glow Plug Input</t>
  </si>
  <si>
    <t>Convienience not working</t>
  </si>
  <si>
    <t>Ignition Interrupt</t>
  </si>
  <si>
    <t>Panic not working</t>
  </si>
  <si>
    <t xml:space="preserve">IMMO Antenna </t>
  </si>
  <si>
    <t>IMMO Clock</t>
  </si>
  <si>
    <t>GWR Input</t>
  </si>
  <si>
    <t>IMMO Power</t>
  </si>
  <si>
    <t>IMMO Synchro</t>
  </si>
  <si>
    <t>Heated Seat Activation</t>
  </si>
  <si>
    <t xml:space="preserve">IMMO Starter Enable </t>
  </si>
  <si>
    <t>Hood Output</t>
  </si>
  <si>
    <t>Horn Input</t>
  </si>
  <si>
    <t>K Line</t>
  </si>
  <si>
    <t>Keyless Data</t>
  </si>
  <si>
    <t>Keysense</t>
  </si>
  <si>
    <t>Left Front Door Trigger</t>
  </si>
  <si>
    <t>Left Front Headrest</t>
  </si>
  <si>
    <t>Left Front Heated Seat</t>
  </si>
  <si>
    <t>Ignition/Flex Relay Output</t>
  </si>
  <si>
    <t>Left Front Speaker</t>
  </si>
  <si>
    <t>IMI</t>
  </si>
  <si>
    <t>Left Front Speaker (+/-)</t>
  </si>
  <si>
    <t>Immo Clock</t>
  </si>
  <si>
    <t>Left Front Tweeter</t>
  </si>
  <si>
    <t>Immo Data</t>
  </si>
  <si>
    <t>Left Front Window (Up/Down)</t>
  </si>
  <si>
    <t>Left Rear Door Trigger</t>
  </si>
  <si>
    <t>Left Rear Headrest</t>
  </si>
  <si>
    <t>IMO</t>
  </si>
  <si>
    <t>Left Rear Speaker</t>
  </si>
  <si>
    <t>Left Rear Speaker (+/-)</t>
  </si>
  <si>
    <t>Instant Alarm Input</t>
  </si>
  <si>
    <t>Left Rear Tweeter</t>
  </si>
  <si>
    <t>ISO BUS</t>
  </si>
  <si>
    <t>Left Rear Window (Up/Down)</t>
  </si>
  <si>
    <t>Lock Motor</t>
  </si>
  <si>
    <t>Key Release Output</t>
  </si>
  <si>
    <t>Memory Seat 1</t>
  </si>
  <si>
    <t>Memory Seat 2</t>
  </si>
  <si>
    <t>Memory Seat 3</t>
  </si>
  <si>
    <t>Keysense Output</t>
  </si>
  <si>
    <t>Mirror Defroster</t>
  </si>
  <si>
    <t>Keysense Input</t>
  </si>
  <si>
    <t>MUX Ignition</t>
  </si>
  <si>
    <t>K-Line</t>
  </si>
  <si>
    <t>Neutral Safety</t>
  </si>
  <si>
    <t>Left Slidding Door</t>
  </si>
  <si>
    <t>Parking Brake</t>
  </si>
  <si>
    <t>Parking Lights (-)</t>
  </si>
  <si>
    <t>Motorized Trunk Output</t>
  </si>
  <si>
    <t>Parking Lights MUX</t>
  </si>
  <si>
    <t>MS CAN High</t>
  </si>
  <si>
    <t>MS CAN Low</t>
  </si>
  <si>
    <t>Passenger Unlock Motor</t>
  </si>
  <si>
    <t>Panic Input</t>
  </si>
  <si>
    <t>Power Antenna</t>
  </si>
  <si>
    <t>Panic Output</t>
  </si>
  <si>
    <t>Power Lock</t>
  </si>
  <si>
    <t>Power Sliding Door (Left)</t>
  </si>
  <si>
    <t>Power Sliding Door (Right)</t>
  </si>
  <si>
    <t>Power Unlock</t>
  </si>
  <si>
    <t>Pos1 Input</t>
  </si>
  <si>
    <t>PTS 2</t>
  </si>
  <si>
    <t>RAP Off</t>
  </si>
  <si>
    <t>PTS 3</t>
  </si>
  <si>
    <t>R-Code</t>
  </si>
  <si>
    <t>R Code</t>
  </si>
  <si>
    <t>RDA</t>
  </si>
  <si>
    <t>Radio 12V</t>
  </si>
  <si>
    <t>Rear Defrost Activation</t>
  </si>
  <si>
    <t>Radio Ground</t>
  </si>
  <si>
    <t>RF Loop</t>
  </si>
  <si>
    <t>Radio Ignition</t>
  </si>
  <si>
    <t>Right Slidding Door</t>
  </si>
  <si>
    <t>Radio Illumination</t>
  </si>
  <si>
    <t>Scomm</t>
  </si>
  <si>
    <t>Rear Defroster</t>
  </si>
  <si>
    <t>Security Light</t>
  </si>
  <si>
    <t>Rear Glass Pin</t>
  </si>
  <si>
    <t>SIL</t>
  </si>
  <si>
    <t>Reverse Light</t>
  </si>
  <si>
    <t xml:space="preserve">Single Wire CAN </t>
  </si>
  <si>
    <t>Right Front Door Trigger</t>
  </si>
  <si>
    <t>Right Front Headrest</t>
  </si>
  <si>
    <t>SLP</t>
  </si>
  <si>
    <t>Right Front Heated Seat</t>
  </si>
  <si>
    <t>Right Front Speaker</t>
  </si>
  <si>
    <t>Right Front Speaker (+/-)</t>
  </si>
  <si>
    <t>STSW</t>
  </si>
  <si>
    <t>Right Front Tweeter</t>
  </si>
  <si>
    <t>Right Front Window (Up/Down)</t>
  </si>
  <si>
    <t>Right Rear Door Trigger</t>
  </si>
  <si>
    <t>Take Over Cut</t>
  </si>
  <si>
    <t>Right Rear Headrest</t>
  </si>
  <si>
    <t>Trunk Activation Output</t>
  </si>
  <si>
    <t>Right Rear Speaker</t>
  </si>
  <si>
    <t>Right Rear Speaker (+/-)</t>
  </si>
  <si>
    <t>Right Rear Tweeter</t>
  </si>
  <si>
    <t>Trunk Trigger Input</t>
  </si>
  <si>
    <t>Right Rear Window (Up/Down)</t>
  </si>
  <si>
    <t>RSE Audio Left (+/-)</t>
  </si>
  <si>
    <t>TXCT</t>
  </si>
  <si>
    <t>RSE Audio Right (+/-)</t>
  </si>
  <si>
    <t>RSE Video (+/-)</t>
  </si>
  <si>
    <t>RX DATA</t>
  </si>
  <si>
    <t>Valet Switch Input</t>
  </si>
  <si>
    <t>Satellite Audio Left (+/-)</t>
  </si>
  <si>
    <t>Window Roll Down</t>
  </si>
  <si>
    <t>Satellite Audio Right (+/-)</t>
  </si>
  <si>
    <t>Window Roll Up</t>
  </si>
  <si>
    <t>Satellite Radio 12 Volts</t>
  </si>
  <si>
    <t>Satellite Radio Antenna</t>
  </si>
  <si>
    <t>Satellite Radio Ground</t>
  </si>
  <si>
    <t>Satellite Radio Ignition</t>
  </si>
  <si>
    <t>Satellite Radio Tuner</t>
  </si>
  <si>
    <t>Second 12 Volts</t>
  </si>
  <si>
    <t>Second Accessory</t>
  </si>
  <si>
    <t>Second Ignition</t>
  </si>
  <si>
    <t>Second Starter</t>
  </si>
  <si>
    <t>SIL Data</t>
  </si>
  <si>
    <t>Speed Sense</t>
  </si>
  <si>
    <t>Starter</t>
  </si>
  <si>
    <t>Subwoofer</t>
  </si>
  <si>
    <t>Subwoofer (+/-)</t>
  </si>
  <si>
    <t>Sun Roof (Limit/Close)</t>
  </si>
  <si>
    <t>Sun Roof (Open/Close)</t>
  </si>
  <si>
    <t>Tachometer</t>
  </si>
  <si>
    <t>Take Over</t>
  </si>
  <si>
    <t>Third Accessory</t>
  </si>
  <si>
    <t>Third Ignition</t>
  </si>
  <si>
    <t>Trunk Alarm Shunt</t>
  </si>
  <si>
    <t>Trunk Release Motor</t>
  </si>
  <si>
    <t>Trunk/Hatch Pin</t>
  </si>
  <si>
    <t>Trunk/Hatch Release</t>
  </si>
  <si>
    <t>Turn Signal (Left)</t>
  </si>
  <si>
    <t>Turn Signal (Right)</t>
  </si>
  <si>
    <t>TX DATA</t>
  </si>
  <si>
    <t xml:space="preserve">Unlock Detection </t>
  </si>
  <si>
    <t>Wait to Start</t>
  </si>
  <si>
    <t>Wipers</t>
  </si>
  <si>
    <t>FW Name</t>
  </si>
  <si>
    <t>Covers Install platform(s):</t>
  </si>
  <si>
    <t>module programing failure</t>
  </si>
  <si>
    <t>REQUIRED FOR PROGRAMING:</t>
  </si>
  <si>
    <t>I.E:</t>
  </si>
  <si>
    <t>IGN</t>
  </si>
  <si>
    <t>VIN ON CAN1</t>
  </si>
  <si>
    <t>BYPASS ON ISO1</t>
  </si>
  <si>
    <t>DATA LINE MUST BE CUT</t>
  </si>
  <si>
    <t>DOOR MUST BE UNLOCK FOR THE BCM TO WAKE UP</t>
  </si>
  <si>
    <t>module installation failure</t>
  </si>
  <si>
    <t>module operation failure 2</t>
  </si>
  <si>
    <t>module operation failure 3</t>
  </si>
  <si>
    <t>module operation failure 4</t>
  </si>
  <si>
    <t>CAN1 not connected or reverse</t>
  </si>
  <si>
    <t>CAN 2 not connected or reverse</t>
  </si>
  <si>
    <t>CAN1 HI not connected</t>
  </si>
  <si>
    <t>CAN2 HI not connected</t>
  </si>
  <si>
    <t>DAC not connected</t>
  </si>
  <si>
    <t>J1850 not connected</t>
  </si>
  <si>
    <t>SW CAN not connected</t>
  </si>
  <si>
    <t>ISO 1 not connected</t>
  </si>
  <si>
    <t>ISO 2 not connected</t>
  </si>
  <si>
    <t>ISO 1 and ISO 2 reverse</t>
  </si>
  <si>
    <t xml:space="preserve">RELAY1 </t>
  </si>
  <si>
    <t>RELAY2</t>
  </si>
  <si>
    <t>Negative output 1 not connected or blown</t>
  </si>
  <si>
    <t>Negative output 2 not connected or blown</t>
  </si>
  <si>
    <t>Negative output 3 not connected or blown</t>
  </si>
  <si>
    <t>Negative output 4 not connected or blown</t>
  </si>
  <si>
    <t>Negative output 5 not connected or blown</t>
  </si>
  <si>
    <t>positive output 1 not connected or blown</t>
  </si>
  <si>
    <t>positive output 2 not connected or blown</t>
  </si>
  <si>
    <t>KEY WRAP failure</t>
  </si>
  <si>
    <t>BRAKE OUTPUT not connected</t>
  </si>
  <si>
    <t>PTSswitch not connected or missing a connection</t>
  </si>
  <si>
    <t>401/402/403</t>
  </si>
  <si>
    <t>Con.</t>
  </si>
  <si>
    <t xml:space="preserve"> Pin#</t>
  </si>
  <si>
    <t xml:space="preserve">Wire Color </t>
  </si>
  <si>
    <t>12-pin Red</t>
  </si>
  <si>
    <t xml:space="preserve">Purple/Brown  </t>
  </si>
  <si>
    <t>16-pin Black</t>
  </si>
  <si>
    <t>8 Pin Data Harness</t>
  </si>
  <si>
    <t>ADC/DAC</t>
  </si>
  <si>
    <t xml:space="preserve">Yellow/Black  </t>
  </si>
  <si>
    <t xml:space="preserve">Orange/Black  </t>
  </si>
  <si>
    <t>14-pin Blue</t>
  </si>
  <si>
    <t xml:space="preserve">Tan           </t>
  </si>
  <si>
    <t xml:space="preserve">Tan/Black     </t>
  </si>
  <si>
    <t xml:space="preserve">Light green   </t>
  </si>
  <si>
    <t>Light/Green</t>
  </si>
  <si>
    <t xml:space="preserve">Orange/Green  </t>
  </si>
  <si>
    <t xml:space="preserve">Orange/Brown  </t>
  </si>
  <si>
    <t xml:space="preserve">Purple/Green  </t>
  </si>
  <si>
    <t xml:space="preserve">Black/White   </t>
  </si>
  <si>
    <t>22 Pin I/O Harness</t>
  </si>
  <si>
    <t>Not Available</t>
  </si>
  <si>
    <t>Output7 (-)</t>
  </si>
  <si>
    <t xml:space="preserve">Gray/Black    </t>
  </si>
  <si>
    <t>Output7 (+)</t>
  </si>
  <si>
    <t xml:space="preserve">Gray          </t>
  </si>
  <si>
    <t>Purple/Black</t>
  </si>
  <si>
    <t>Not Applicable</t>
  </si>
  <si>
    <t xml:space="preserve">Purple/Yellow </t>
  </si>
  <si>
    <t>10-pin Black</t>
  </si>
  <si>
    <t>NEG 2 IN (UNLOCK INPUT)</t>
  </si>
  <si>
    <t>18-pin White</t>
  </si>
  <si>
    <t>NEG_4_IN (AUX1)</t>
  </si>
  <si>
    <t>17</t>
  </si>
  <si>
    <t>Hand Brake IN</t>
  </si>
  <si>
    <t>NEG_5_IN (AUX2)</t>
  </si>
  <si>
    <t>21</t>
  </si>
  <si>
    <t>POS1 IN</t>
  </si>
  <si>
    <t>22</t>
  </si>
  <si>
    <t>OUTPUT5(-) (hood status)</t>
  </si>
  <si>
    <t>OUTPUT4(-)  (TRUNK  STATUS)</t>
  </si>
  <si>
    <t>20</t>
  </si>
  <si>
    <t>Door Sense Input (-)</t>
  </si>
  <si>
    <t>13</t>
  </si>
  <si>
    <t>Door Sense Input (+)</t>
  </si>
  <si>
    <t>NEG 3 IN (trunk Input)</t>
  </si>
  <si>
    <t>16</t>
  </si>
  <si>
    <t>TRIGGER 3 IN</t>
  </si>
  <si>
    <t>19</t>
  </si>
  <si>
    <t xml:space="preserve"> (Lock Input)</t>
  </si>
  <si>
    <t>15</t>
  </si>
  <si>
    <t>Activation input</t>
  </si>
  <si>
    <t>Green/White</t>
  </si>
  <si>
    <t>OUTPUT3(-)  (Door Status)</t>
  </si>
  <si>
    <t>IN_POS_2 (IGN RS)</t>
  </si>
  <si>
    <t>14</t>
  </si>
  <si>
    <t>Not available</t>
  </si>
  <si>
    <t>7-pin White</t>
  </si>
  <si>
    <t>OUTPUT 8</t>
  </si>
  <si>
    <t>OUTPUT 9</t>
  </si>
  <si>
    <t>OUTPUT 10</t>
  </si>
  <si>
    <t>OUTPUT 11</t>
  </si>
  <si>
    <t>Relay Pack</t>
  </si>
  <si>
    <t>10 Pin Main Ign Harness</t>
  </si>
  <si>
    <t>FLEX RELAY OUTPUT</t>
  </si>
  <si>
    <t>FLEX RELAY INPUT</t>
  </si>
  <si>
    <t>IGNITION OUTPUT</t>
  </si>
  <si>
    <t>IGNITION INPUT</t>
  </si>
  <si>
    <t>STARTER KILL (KEY SIDE)</t>
  </si>
  <si>
    <t>STARTER OUTPUT</t>
  </si>
  <si>
    <t xml:space="preserve">Not available </t>
  </si>
  <si>
    <t>12-pin White</t>
  </si>
  <si>
    <t>COM     RELAY3</t>
  </si>
  <si>
    <t>12 Pin Relay Harness</t>
  </si>
  <si>
    <t>COM RELAY3</t>
  </si>
  <si>
    <t>NO  RELAY3</t>
  </si>
  <si>
    <t xml:space="preserve">Brown/red     </t>
  </si>
  <si>
    <t xml:space="preserve">Yellow/red    </t>
  </si>
  <si>
    <t xml:space="preserve">Orange/red    </t>
  </si>
  <si>
    <t xml:space="preserve">Yellow        </t>
  </si>
  <si>
    <t>COM RELAY1</t>
  </si>
  <si>
    <t>black</t>
  </si>
  <si>
    <t>red</t>
  </si>
  <si>
    <t xml:space="preserve">6 &amp; 12 </t>
  </si>
  <si>
    <t xml:space="preserve">Orange/yellow </t>
  </si>
  <si>
    <t xml:space="preserve">Brown         </t>
  </si>
  <si>
    <t>Sensor trigger input</t>
  </si>
  <si>
    <t>Sensor input</t>
  </si>
  <si>
    <t>Triger Input</t>
  </si>
  <si>
    <t xml:space="preserve">GWA (Status) </t>
  </si>
  <si>
    <t xml:space="preserve">GWR (Status) </t>
  </si>
  <si>
    <t>x</t>
  </si>
  <si>
    <t>Door Status</t>
  </si>
  <si>
    <t>Trunk Status</t>
  </si>
  <si>
    <t>Manual transmission only</t>
  </si>
  <si>
    <t>Manual transmission only; also RAP Off after shutdown</t>
  </si>
  <si>
    <t>Handbrake status</t>
  </si>
  <si>
    <t>Brake status (DAC output)</t>
  </si>
  <si>
    <t>RF loop, driven together with GWR</t>
  </si>
  <si>
    <t>Brake status (DAC) is driven by the FW, but on DS4 there is no external remote starter to receive it</t>
  </si>
  <si>
    <t>Connect only if RPM is not available over the data bus</t>
  </si>
  <si>
    <t>Brake status uses both pin 8 and pin 9 - connect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</si>
</sst>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9"/>
      <color theme="1"/>
      <name val="Cambria"/>
      <family val="1"/>
      <scheme val="major"/>
    </font>
    <font>
      <b/>
      <sz val="9"/>
      <color theme="1"/>
      <name val="Cambria"/>
      <family val="1"/>
      <scheme val="major"/>
    </font>
    <font>
      <b/>
      <sz val="9"/>
      <color theme="0"/>
      <name val="Cambria"/>
      <family val="1"/>
      <scheme val="major"/>
    </font>
    <font>
      <b/>
      <sz val="11"/>
      <color theme="0"/>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color rgb="FFFF0000"/>
      <name val="Calibri"/>
      <family val="2"/>
      <scheme val="minor"/>
    </font>
    <font>
      <b/>
      <sz val="10"/>
      <color rgb="FF151515"/>
      <name val="Arial"/>
      <family val="2"/>
    </font>
    <font>
      <sz val="10"/>
      <color rgb="FF000000"/>
      <name val="Arial"/>
      <family val="2"/>
    </font>
    <font>
      <sz val="9"/>
      <name val="Cambria"/>
      <family val="1"/>
      <scheme val="major"/>
    </font>
    <font>
      <sz val="9"/>
      <color rgb="FF00B050"/>
      <name val="Cambria"/>
      <family val="1"/>
      <scheme val="major"/>
    </font>
    <font>
      <sz val="9"/>
      <color rgb="FFFF0000"/>
      <name val="Cambria"/>
      <family val="1"/>
      <scheme val="major"/>
    </font>
    <font>
      <sz val="9"/>
      <color theme="0"/>
      <name val="Cambria"/>
      <family val="1"/>
      <scheme val="major"/>
    </font>
    <font>
      <sz val="11"/>
      <color rgb="FF000000"/>
      <name val="Calibri"/>
      <family val="2"/>
      <scheme val="minor"/>
    </font>
    <font>
      <b/>
      <u/>
      <sz val="11"/>
      <color theme="1"/>
      <name val="Calibri"/>
      <family val="2"/>
      <scheme val="minor"/>
    </font>
    <font>
      <sz val="20"/>
      <color theme="1"/>
      <name val="Cambria"/>
      <family val="1"/>
      <scheme val="major"/>
    </font>
    <font>
      <sz val="9"/>
      <color rgb="FF000000"/>
      <name val="Cambria"/>
      <family val="1"/>
      <scheme val="major"/>
    </font>
    <font>
      <b/>
      <sz val="11"/>
      <color theme="1"/>
      <name val="Cambria"/>
      <family val="1"/>
      <scheme val="major"/>
    </font>
    <font>
      <sz val="11"/>
      <color theme="1"/>
      <name val="Cambria"/>
      <family val="1"/>
      <scheme val="major"/>
    </font>
    <font>
      <b/>
      <sz val="10"/>
      <color rgb="FF000000"/>
      <name val="Arial"/>
      <family val="2"/>
    </font>
    <font>
      <b/>
      <sz val="16"/>
      <color theme="1"/>
      <name val="Calibri"/>
      <family val="2"/>
      <scheme val="minor"/>
    </font>
    <font>
      <b/>
      <i/>
      <sz val="16"/>
      <color theme="1"/>
      <name val="Calibri"/>
      <family val="2"/>
      <scheme val="minor"/>
    </font>
    <font>
      <sz val="10"/>
      <color rgb="FF000000"/>
      <name val="Segoe UI"/>
      <family val="2"/>
    </font>
    <font>
      <sz val="9"/>
      <color rgb="FFCC0000"/>
      <name val="Cambria"/>
      <family val="1"/>
      <scheme val="major"/>
    </font>
    <font>
      <b/>
      <i/>
      <sz val="12"/>
      <color theme="1"/>
      <name val="Calibri"/>
      <family val="2"/>
      <scheme val="minor"/>
    </font>
  </fonts>
  <fills count="1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gradientFill>
        <stop position="0">
          <color rgb="FFFF0000"/>
        </stop>
        <stop position="1">
          <color rgb="FFFFC000"/>
        </stop>
      </gradientFill>
    </fill>
    <fill>
      <patternFill patternType="solid">
        <fgColor rgb="FFFFFFFF"/>
        <bgColor indexed="64"/>
      </patternFill>
    </fill>
    <fill>
      <patternFill patternType="solid">
        <fgColor theme="0" tint="-0.499984740745262"/>
        <bgColor indexed="64"/>
      </patternFill>
    </fill>
    <fill>
      <gradientFill>
        <stop position="0">
          <color rgb="FF00B050"/>
        </stop>
        <stop position="1">
          <color rgb="FFFF0000"/>
        </stop>
      </gradientFill>
    </fill>
    <fill>
      <gradientFill>
        <stop position="0">
          <color rgb="FFFF0000"/>
        </stop>
        <stop position="1">
          <color rgb="FF00B050"/>
        </stop>
      </gradientFill>
    </fill>
    <fill>
      <patternFill patternType="solid">
        <fgColor theme="8"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66">
    <xf numFmtId="0" fontId="0" fillId="0" borderId="0" xfId="0"/>
    <xf numFmtId="0" fontId="0" fillId="0" borderId="0" xfId="0" applyAlignment="1">
      <alignment horizontal="center" vertical="center"/>
    </xf>
    <xf numFmtId="0" fontId="4" fillId="2" borderId="1" xfId="0" applyFont="1" applyFill="1" applyBorder="1" applyAlignment="1">
      <alignment horizontal="center"/>
    </xf>
    <xf numFmtId="0" fontId="0" fillId="0" borderId="1" xfId="0" applyBorder="1"/>
    <xf numFmtId="0" fontId="4" fillId="2" borderId="1" xfId="0" applyFont="1" applyFill="1" applyBorder="1" applyAlignment="1">
      <alignment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xf numFmtId="0" fontId="1" fillId="0" borderId="1" xfId="0" applyFont="1" applyBorder="1" applyAlignment="1">
      <alignment vertical="center"/>
    </xf>
    <xf numFmtId="0" fontId="1" fillId="0" borderId="0" xfId="0" applyFont="1"/>
    <xf numFmtId="0" fontId="7" fillId="0" borderId="0" xfId="0" applyFont="1"/>
    <xf numFmtId="0" fontId="0" fillId="0" borderId="0" xfId="0" applyAlignment="1">
      <alignment horizontal="center"/>
    </xf>
    <xf numFmtId="0" fontId="0" fillId="0" borderId="0" xfId="0" applyAlignment="1">
      <alignment vertical="center" wrapText="1"/>
    </xf>
    <xf numFmtId="0" fontId="2" fillId="0" borderId="1" xfId="0" applyFont="1" applyBorder="1" applyAlignment="1">
      <alignment horizontal="center"/>
    </xf>
    <xf numFmtId="0" fontId="8" fillId="0" borderId="0" xfId="0" applyFont="1"/>
    <xf numFmtId="0" fontId="8" fillId="0" borderId="0" xfId="0" applyFont="1" applyAlignment="1">
      <alignment horizontal="center"/>
    </xf>
    <xf numFmtId="0" fontId="2" fillId="0" borderId="1" xfId="0" applyFont="1" applyBorder="1"/>
    <xf numFmtId="0" fontId="4" fillId="2" borderId="1" xfId="0" applyFont="1" applyFill="1"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vertical="center" wrapText="1"/>
    </xf>
    <xf numFmtId="0" fontId="11" fillId="0" borderId="1" xfId="0" applyFont="1" applyBorder="1"/>
    <xf numFmtId="0" fontId="12" fillId="8" borderId="1" xfId="0" applyFont="1" applyFill="1" applyBorder="1" applyAlignment="1">
      <alignment horizontal="left" vertical="center" wrapText="1" indent="1"/>
    </xf>
    <xf numFmtId="0" fontId="0" fillId="0" borderId="1" xfId="0" applyBorder="1" applyAlignment="1">
      <alignment vertical="center" wrapText="1"/>
    </xf>
    <xf numFmtId="0" fontId="9" fillId="0" borderId="1" xfId="0" applyFont="1" applyBorder="1" applyAlignment="1">
      <alignment vertical="center" wrapText="1"/>
    </xf>
    <xf numFmtId="0" fontId="0" fillId="0" borderId="0" xfId="0" applyAlignment="1">
      <alignment wrapText="1"/>
    </xf>
    <xf numFmtId="49" fontId="13" fillId="0" borderId="1" xfId="0" applyNumberFormat="1" applyFont="1" applyBorder="1" applyAlignment="1">
      <alignment vertical="center"/>
    </xf>
    <xf numFmtId="49" fontId="2" fillId="0" borderId="1" xfId="0" applyNumberFormat="1" applyFont="1" applyBorder="1" applyAlignment="1">
      <alignment horizontal="left" vertical="center"/>
    </xf>
    <xf numFmtId="49" fontId="4" fillId="4" borderId="1" xfId="0" applyNumberFormat="1" applyFont="1" applyFill="1" applyBorder="1" applyAlignment="1">
      <alignment horizontal="left"/>
    </xf>
    <xf numFmtId="49" fontId="4" fillId="2" borderId="1" xfId="0" applyNumberFormat="1" applyFont="1" applyFill="1" applyBorder="1" applyAlignment="1">
      <alignment horizontal="left"/>
    </xf>
    <xf numFmtId="49" fontId="13" fillId="0" borderId="1" xfId="0" applyNumberFormat="1" applyFont="1" applyBorder="1" applyAlignment="1">
      <alignment horizontal="center"/>
    </xf>
    <xf numFmtId="49" fontId="13" fillId="0" borderId="1" xfId="0" applyNumberFormat="1" applyFont="1" applyBorder="1" applyAlignment="1">
      <alignment horizontal="left"/>
    </xf>
    <xf numFmtId="49" fontId="2"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13" fillId="0" borderId="1" xfId="0" applyNumberFormat="1" applyFont="1" applyBorder="1" applyAlignment="1">
      <alignment horizontal="center" vertical="center"/>
    </xf>
    <xf numFmtId="49" fontId="14"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4" fillId="0" borderId="1" xfId="0" applyNumberFormat="1" applyFont="1" applyBorder="1" applyAlignment="1">
      <alignment horizontal="left" vertical="center" wrapText="1"/>
    </xf>
    <xf numFmtId="49" fontId="13" fillId="0" borderId="1" xfId="0" quotePrefix="1" applyNumberFormat="1" applyFont="1" applyBorder="1" applyAlignment="1">
      <alignment horizontal="left" vertical="center"/>
    </xf>
    <xf numFmtId="49" fontId="14" fillId="0" borderId="1" xfId="0" applyNumberFormat="1" applyFont="1" applyBorder="1" applyAlignment="1">
      <alignment horizontal="left"/>
    </xf>
    <xf numFmtId="49" fontId="16" fillId="4" borderId="1" xfId="0" applyNumberFormat="1" applyFont="1" applyFill="1" applyBorder="1" applyAlignment="1">
      <alignment horizontal="center"/>
    </xf>
    <xf numFmtId="49" fontId="16" fillId="2" borderId="1" xfId="0" applyNumberFormat="1" applyFont="1" applyFill="1" applyBorder="1" applyAlignment="1">
      <alignment horizontal="center"/>
    </xf>
    <xf numFmtId="49" fontId="13" fillId="0" borderId="17" xfId="0" applyNumberFormat="1" applyFont="1" applyBorder="1" applyAlignment="1">
      <alignment horizontal="center" vertical="center"/>
    </xf>
    <xf numFmtId="49" fontId="15" fillId="0" borderId="1" xfId="0" applyNumberFormat="1" applyFont="1" applyBorder="1" applyAlignment="1">
      <alignment vertical="center"/>
    </xf>
    <xf numFmtId="49" fontId="13" fillId="0" borderId="17" xfId="0" applyNumberFormat="1" applyFont="1" applyBorder="1" applyAlignment="1">
      <alignment horizontal="left"/>
    </xf>
    <xf numFmtId="0" fontId="18" fillId="0" borderId="0" xfId="0" applyFont="1" applyAlignment="1">
      <alignment vertical="center"/>
    </xf>
    <xf numFmtId="49" fontId="3" fillId="3" borderId="23" xfId="0" applyNumberFormat="1" applyFont="1" applyFill="1" applyBorder="1" applyAlignment="1">
      <alignment horizontal="center" vertical="center"/>
    </xf>
    <xf numFmtId="49" fontId="3" fillId="3" borderId="24" xfId="0" applyNumberFormat="1" applyFont="1" applyFill="1" applyBorder="1" applyAlignment="1">
      <alignment horizontal="center" vertical="center" wrapText="1"/>
    </xf>
    <xf numFmtId="49" fontId="3" fillId="3" borderId="24" xfId="0" applyNumberFormat="1" applyFont="1" applyFill="1" applyBorder="1" applyAlignment="1">
      <alignment horizontal="center" vertical="center"/>
    </xf>
    <xf numFmtId="49" fontId="3" fillId="3" borderId="25" xfId="0" applyNumberFormat="1" applyFont="1" applyFill="1" applyBorder="1" applyAlignment="1">
      <alignment vertical="center"/>
    </xf>
    <xf numFmtId="49" fontId="13" fillId="0" borderId="14" xfId="0" applyNumberFormat="1" applyFont="1" applyBorder="1" applyAlignment="1">
      <alignment horizontal="center" vertical="center"/>
    </xf>
    <xf numFmtId="49" fontId="13" fillId="0" borderId="13" xfId="0" applyNumberFormat="1" applyFont="1" applyBorder="1" applyAlignment="1">
      <alignment horizontal="center" vertical="center"/>
    </xf>
    <xf numFmtId="49" fontId="13" fillId="0" borderId="13" xfId="0" applyNumberFormat="1" applyFont="1" applyBorder="1" applyAlignment="1">
      <alignment horizontal="left" vertical="center"/>
    </xf>
    <xf numFmtId="0" fontId="2" fillId="0" borderId="13" xfId="0" applyFont="1" applyBorder="1" applyAlignment="1">
      <alignment horizontal="center" vertical="center"/>
    </xf>
    <xf numFmtId="0" fontId="20" fillId="0" borderId="13" xfId="0" applyFont="1" applyBorder="1" applyAlignment="1">
      <alignment horizontal="left" vertical="center" wrapText="1"/>
    </xf>
    <xf numFmtId="0" fontId="2" fillId="0" borderId="8" xfId="0" applyFont="1" applyBorder="1"/>
    <xf numFmtId="49" fontId="13" fillId="0" borderId="5" xfId="0" applyNumberFormat="1" applyFont="1" applyBorder="1" applyAlignment="1">
      <alignment horizontal="center" vertical="center"/>
    </xf>
    <xf numFmtId="0" fontId="20" fillId="0" borderId="1" xfId="0" applyFont="1" applyBorder="1" applyAlignment="1">
      <alignment horizontal="left" vertical="center" wrapText="1"/>
    </xf>
    <xf numFmtId="0" fontId="2" fillId="0" borderId="6" xfId="0" applyFont="1" applyBorder="1"/>
    <xf numFmtId="0" fontId="2" fillId="0" borderId="5" xfId="0" applyFont="1" applyBorder="1"/>
    <xf numFmtId="49" fontId="13" fillId="0" borderId="26"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9" xfId="0" applyNumberFormat="1" applyFont="1" applyBorder="1" applyAlignment="1">
      <alignment horizontal="left" vertical="center"/>
    </xf>
    <xf numFmtId="0" fontId="2" fillId="0" borderId="12" xfId="0" applyFont="1" applyBorder="1" applyAlignment="1">
      <alignment horizontal="center" vertical="center"/>
    </xf>
    <xf numFmtId="0" fontId="2" fillId="0" borderId="19" xfId="0" applyFont="1" applyBorder="1"/>
    <xf numFmtId="49" fontId="3" fillId="3" borderId="25" xfId="0" applyNumberFormat="1" applyFont="1" applyFill="1" applyBorder="1" applyAlignment="1">
      <alignment horizontal="center" vertical="center"/>
    </xf>
    <xf numFmtId="0" fontId="2" fillId="0" borderId="16" xfId="0" applyFont="1" applyBorder="1"/>
    <xf numFmtId="0" fontId="2" fillId="0" borderId="17" xfId="0" applyFont="1" applyBorder="1" applyAlignment="1">
      <alignment horizontal="center" vertical="center"/>
    </xf>
    <xf numFmtId="0" fontId="2" fillId="0" borderId="17" xfId="0" applyFont="1" applyBorder="1"/>
    <xf numFmtId="0" fontId="2" fillId="0" borderId="18" xfId="0" applyFont="1" applyBorder="1"/>
    <xf numFmtId="0" fontId="2" fillId="0" borderId="11" xfId="0" applyFont="1" applyBorder="1"/>
    <xf numFmtId="49" fontId="13" fillId="0" borderId="16" xfId="0" applyNumberFormat="1" applyFont="1" applyBorder="1" applyAlignment="1">
      <alignment horizontal="center" vertical="center"/>
    </xf>
    <xf numFmtId="49" fontId="2" fillId="0" borderId="1" xfId="0" applyNumberFormat="1" applyFont="1" applyBorder="1" applyAlignment="1">
      <alignment horizontal="left"/>
    </xf>
    <xf numFmtId="0" fontId="21" fillId="0" borderId="0" xfId="0" applyFont="1"/>
    <xf numFmtId="0" fontId="22" fillId="0" borderId="0" xfId="0" applyFont="1"/>
    <xf numFmtId="0" fontId="22" fillId="0" borderId="0" xfId="0" applyFont="1" applyAlignment="1">
      <alignment horizontal="center" vertical="center"/>
    </xf>
    <xf numFmtId="49" fontId="2" fillId="0" borderId="6" xfId="0" applyNumberFormat="1" applyFont="1" applyBorder="1" applyAlignment="1">
      <alignment horizontal="left"/>
    </xf>
    <xf numFmtId="49" fontId="2" fillId="0" borderId="6"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vertical="center"/>
    </xf>
    <xf numFmtId="49" fontId="2" fillId="0" borderId="6" xfId="0" quotePrefix="1"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18" xfId="0" applyNumberFormat="1" applyFont="1" applyBorder="1" applyAlignment="1">
      <alignment horizontal="left"/>
    </xf>
    <xf numFmtId="49" fontId="3" fillId="3" borderId="21" xfId="0" applyNumberFormat="1" applyFont="1" applyFill="1" applyBorder="1" applyAlignment="1">
      <alignment vertical="center"/>
    </xf>
    <xf numFmtId="0" fontId="2" fillId="0" borderId="28" xfId="0" applyFont="1" applyBorder="1"/>
    <xf numFmtId="0" fontId="2" fillId="0" borderId="3" xfId="0" applyFont="1" applyBorder="1"/>
    <xf numFmtId="0" fontId="2" fillId="0" borderId="15" xfId="0" applyFont="1" applyBorder="1"/>
    <xf numFmtId="49" fontId="3" fillId="3" borderId="21" xfId="0" applyNumberFormat="1" applyFont="1" applyFill="1" applyBorder="1" applyAlignment="1">
      <alignment horizontal="center" vertical="center"/>
    </xf>
    <xf numFmtId="49" fontId="2" fillId="0" borderId="3" xfId="0" applyNumberFormat="1" applyFont="1" applyBorder="1" applyAlignment="1">
      <alignment horizontal="left"/>
    </xf>
    <xf numFmtId="49" fontId="2" fillId="0" borderId="3" xfId="0" applyNumberFormat="1" applyFont="1" applyBorder="1" applyAlignment="1">
      <alignment horizontal="left" vertical="center"/>
    </xf>
    <xf numFmtId="49" fontId="13" fillId="12" borderId="14"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20" fillId="12" borderId="1" xfId="0" applyFont="1" applyFill="1" applyBorder="1" applyAlignment="1">
      <alignment horizontal="left" vertical="center" wrapText="1"/>
    </xf>
    <xf numFmtId="0" fontId="2" fillId="12" borderId="6" xfId="0" applyFont="1" applyFill="1" applyBorder="1"/>
    <xf numFmtId="0" fontId="2" fillId="12" borderId="3" xfId="0" applyFont="1" applyFill="1" applyBorder="1"/>
    <xf numFmtId="49" fontId="13" fillId="12" borderId="5" xfId="0"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49" fontId="13" fillId="12" borderId="1" xfId="0" applyNumberFormat="1" applyFont="1" applyFill="1" applyBorder="1" applyAlignment="1">
      <alignment vertical="center"/>
    </xf>
    <xf numFmtId="49" fontId="2" fillId="12" borderId="6" xfId="0" applyNumberFormat="1" applyFont="1" applyFill="1" applyBorder="1" applyAlignment="1">
      <alignment vertical="center"/>
    </xf>
    <xf numFmtId="49" fontId="13" fillId="12" borderId="1" xfId="0" applyNumberFormat="1" applyFont="1" applyFill="1" applyBorder="1" applyAlignment="1">
      <alignment horizontal="left" vertical="center"/>
    </xf>
    <xf numFmtId="49" fontId="2" fillId="12" borderId="6" xfId="0" applyNumberFormat="1" applyFont="1" applyFill="1" applyBorder="1" applyAlignment="1">
      <alignment horizontal="left" vertical="center"/>
    </xf>
    <xf numFmtId="0" fontId="2" fillId="12" borderId="12" xfId="0" applyFont="1" applyFill="1" applyBorder="1" applyAlignment="1">
      <alignment horizontal="center" vertical="center"/>
    </xf>
    <xf numFmtId="0" fontId="20" fillId="12" borderId="12" xfId="0" applyFont="1" applyFill="1" applyBorder="1" applyAlignment="1">
      <alignment horizontal="left" vertical="center" wrapText="1"/>
    </xf>
    <xf numFmtId="0" fontId="2" fillId="12" borderId="19" xfId="0" applyFont="1" applyFill="1" applyBorder="1"/>
    <xf numFmtId="0" fontId="2" fillId="12" borderId="15" xfId="0" applyFont="1" applyFill="1" applyBorder="1"/>
    <xf numFmtId="49" fontId="13" fillId="12" borderId="26" xfId="0" applyNumberFormat="1" applyFont="1" applyFill="1" applyBorder="1" applyAlignment="1">
      <alignment horizontal="center" vertical="center"/>
    </xf>
    <xf numFmtId="49" fontId="13" fillId="12" borderId="9" xfId="0" applyNumberFormat="1" applyFont="1" applyFill="1" applyBorder="1" applyAlignment="1">
      <alignment horizontal="center" vertical="center"/>
    </xf>
    <xf numFmtId="49" fontId="13" fillId="12" borderId="9" xfId="0" applyNumberFormat="1" applyFont="1" applyFill="1" applyBorder="1" applyAlignment="1">
      <alignment horizontal="left" vertical="center"/>
    </xf>
    <xf numFmtId="49" fontId="2" fillId="12" borderId="7" xfId="0" applyNumberFormat="1" applyFont="1" applyFill="1" applyBorder="1" applyAlignment="1">
      <alignment horizontal="left" vertical="center"/>
    </xf>
    <xf numFmtId="0" fontId="2" fillId="12" borderId="16" xfId="0" applyFont="1" applyFill="1" applyBorder="1"/>
    <xf numFmtId="0" fontId="2" fillId="12" borderId="1" xfId="0" applyFont="1" applyFill="1" applyBorder="1" applyAlignment="1">
      <alignment horizontal="left" vertical="center"/>
    </xf>
    <xf numFmtId="0" fontId="2" fillId="12" borderId="5" xfId="0" applyFont="1" applyFill="1" applyBorder="1"/>
    <xf numFmtId="0" fontId="2" fillId="12" borderId="1" xfId="0" applyFont="1" applyFill="1" applyBorder="1"/>
    <xf numFmtId="0" fontId="2" fillId="12" borderId="10" xfId="0" applyFont="1" applyFill="1" applyBorder="1" applyAlignment="1">
      <alignment horizontal="left" vertical="center"/>
    </xf>
    <xf numFmtId="0" fontId="2" fillId="12" borderId="30" xfId="0" applyFont="1" applyFill="1" applyBorder="1" applyAlignment="1">
      <alignment horizontal="left" vertical="center"/>
    </xf>
    <xf numFmtId="0" fontId="2" fillId="12" borderId="12" xfId="0" applyFont="1" applyFill="1" applyBorder="1"/>
    <xf numFmtId="49" fontId="13" fillId="12" borderId="1" xfId="0" applyNumberFormat="1" applyFont="1" applyFill="1" applyBorder="1" applyAlignment="1">
      <alignment horizontal="left"/>
    </xf>
    <xf numFmtId="49" fontId="2" fillId="12" borderId="6" xfId="0" applyNumberFormat="1" applyFont="1" applyFill="1" applyBorder="1" applyAlignment="1">
      <alignment horizontal="left"/>
    </xf>
    <xf numFmtId="49" fontId="2" fillId="12" borderId="3" xfId="0" applyNumberFormat="1" applyFont="1" applyFill="1" applyBorder="1" applyAlignment="1">
      <alignment horizontal="left"/>
    </xf>
    <xf numFmtId="49" fontId="2" fillId="12" borderId="6" xfId="0" applyNumberFormat="1" applyFont="1" applyFill="1" applyBorder="1" applyAlignment="1">
      <alignment horizontal="left" vertical="center" wrapText="1"/>
    </xf>
    <xf numFmtId="49" fontId="2" fillId="12" borderId="3" xfId="0" applyNumberFormat="1" applyFont="1" applyFill="1" applyBorder="1" applyAlignment="1">
      <alignment horizontal="left" vertical="center" wrapText="1"/>
    </xf>
    <xf numFmtId="49" fontId="2" fillId="12" borderId="1" xfId="0" applyNumberFormat="1" applyFont="1" applyFill="1" applyBorder="1" applyAlignment="1">
      <alignment horizontal="left" vertical="center" wrapText="1"/>
    </xf>
    <xf numFmtId="49" fontId="2" fillId="12" borderId="1" xfId="0" applyNumberFormat="1" applyFont="1" applyFill="1" applyBorder="1" applyAlignment="1">
      <alignment horizontal="left"/>
    </xf>
    <xf numFmtId="49" fontId="13" fillId="12" borderId="27" xfId="0" applyNumberFormat="1" applyFont="1" applyFill="1" applyBorder="1" applyAlignment="1">
      <alignment horizontal="center" vertical="center"/>
    </xf>
    <xf numFmtId="49" fontId="2" fillId="12" borderId="19" xfId="0" applyNumberFormat="1" applyFont="1" applyFill="1" applyBorder="1" applyAlignment="1">
      <alignment horizontal="left" vertical="center"/>
    </xf>
    <xf numFmtId="49" fontId="2" fillId="12" borderId="29" xfId="0" applyNumberFormat="1" applyFont="1" applyFill="1" applyBorder="1" applyAlignment="1">
      <alignment horizontal="left" vertical="center"/>
    </xf>
    <xf numFmtId="49" fontId="13" fillId="12" borderId="11" xfId="0" applyNumberFormat="1" applyFont="1" applyFill="1" applyBorder="1" applyAlignment="1">
      <alignment horizontal="center" vertical="center"/>
    </xf>
    <xf numFmtId="49" fontId="13" fillId="12" borderId="12" xfId="0" applyNumberFormat="1" applyFont="1" applyFill="1" applyBorder="1" applyAlignment="1">
      <alignment horizontal="center" vertical="center"/>
    </xf>
    <xf numFmtId="49" fontId="2" fillId="12" borderId="12" xfId="0" applyNumberFormat="1" applyFont="1" applyFill="1" applyBorder="1" applyAlignment="1">
      <alignment horizontal="left" vertical="center"/>
    </xf>
    <xf numFmtId="0" fontId="3" fillId="3" borderId="24" xfId="0" applyFont="1" applyFill="1" applyBorder="1" applyAlignment="1">
      <alignment horizontal="center" vertical="center" wrapText="1"/>
    </xf>
    <xf numFmtId="0" fontId="13" fillId="0" borderId="13" xfId="0" applyFont="1" applyBorder="1" applyAlignment="1">
      <alignment horizontal="center" vertical="center"/>
    </xf>
    <xf numFmtId="0" fontId="13" fillId="12" borderId="1" xfId="0" applyFont="1" applyFill="1" applyBorder="1" applyAlignment="1">
      <alignment horizontal="center" vertical="center"/>
    </xf>
    <xf numFmtId="0" fontId="13" fillId="0" borderId="1" xfId="0" applyFont="1" applyBorder="1" applyAlignment="1">
      <alignment horizontal="center" vertical="center"/>
    </xf>
    <xf numFmtId="0" fontId="13" fillId="12" borderId="9" xfId="0" applyFont="1" applyFill="1" applyBorder="1" applyAlignment="1">
      <alignment horizontal="center" vertical="center"/>
    </xf>
    <xf numFmtId="0" fontId="13" fillId="12" borderId="13" xfId="0" applyFont="1" applyFill="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12" borderId="12" xfId="0" applyFont="1" applyFill="1" applyBorder="1" applyAlignment="1">
      <alignment horizontal="center" vertical="center"/>
    </xf>
    <xf numFmtId="0" fontId="7" fillId="0" borderId="1" xfId="0" applyFont="1" applyBorder="1"/>
    <xf numFmtId="0" fontId="1" fillId="0" borderId="1" xfId="0" applyFont="1" applyBorder="1" applyAlignment="1">
      <alignment horizontal="center" wrapText="1"/>
    </xf>
    <xf numFmtId="0" fontId="23" fillId="8" borderId="1" xfId="0" applyFont="1" applyFill="1" applyBorder="1" applyAlignment="1">
      <alignment horizontal="left" vertical="center" wrapText="1" indent="1"/>
    </xf>
    <xf numFmtId="0" fontId="0" fillId="0" borderId="0" xfId="0" applyAlignment="1">
      <alignment horizontal="center" wrapText="1"/>
    </xf>
    <xf numFmtId="0" fontId="4" fillId="2" borderId="9"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0" fontId="16" fillId="2" borderId="1" xfId="0" applyFont="1" applyFill="1" applyBorder="1" applyAlignment="1">
      <alignment vertical="center" wrapText="1"/>
    </xf>
    <xf numFmtId="0" fontId="16" fillId="4"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9"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0" fontId="9"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xf>
    <xf numFmtId="0" fontId="6" fillId="7" borderId="1" xfId="0" applyFont="1" applyFill="1" applyBorder="1" applyAlignment="1">
      <alignment horizontal="left" vertical="center" wrapText="1"/>
    </xf>
    <xf numFmtId="0" fontId="5" fillId="2" borderId="1" xfId="0" applyFont="1" applyFill="1" applyBorder="1" applyAlignment="1">
      <alignment horizontal="left" vertical="center"/>
    </xf>
    <xf numFmtId="0" fontId="17" fillId="0" borderId="1" xfId="0" applyFont="1" applyBorder="1" applyAlignment="1">
      <alignment horizontal="left" wrapText="1"/>
    </xf>
    <xf numFmtId="0" fontId="17" fillId="0" borderId="1" xfId="0" applyFont="1" applyBorder="1" applyAlignment="1">
      <alignment vertical="center"/>
    </xf>
    <xf numFmtId="0" fontId="17" fillId="0" borderId="1" xfId="0" applyFont="1" applyBorder="1" applyAlignment="1">
      <alignment horizontal="left" vertical="center" wrapText="1"/>
    </xf>
    <xf numFmtId="0" fontId="6" fillId="9"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49" fontId="16" fillId="4" borderId="1" xfId="0" applyNumberFormat="1" applyFont="1" applyFill="1" applyBorder="1" applyAlignment="1">
      <alignment horizontal="center" vertical="center"/>
    </xf>
    <xf numFmtId="49"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left" vertical="center"/>
    </xf>
    <xf numFmtId="49" fontId="16" fillId="4" borderId="1" xfId="0" applyNumberFormat="1" applyFont="1" applyFill="1" applyBorder="1" applyAlignment="1">
      <alignment horizontal="left" vertical="center"/>
    </xf>
    <xf numFmtId="0" fontId="0" fillId="0" borderId="6" xfId="0" applyBorder="1"/>
    <xf numFmtId="0" fontId="0" fillId="0" borderId="19" xfId="0" applyBorder="1"/>
    <xf numFmtId="0" fontId="2" fillId="0" borderId="5" xfId="0" applyFont="1" applyBorder="1" applyAlignment="1">
      <alignment horizontal="left" vertical="center"/>
    </xf>
    <xf numFmtId="0" fontId="2" fillId="0" borderId="11" xfId="0" applyFont="1" applyBorder="1" applyAlignment="1">
      <alignment horizontal="left" vertical="center"/>
    </xf>
    <xf numFmtId="0" fontId="2" fillId="0" borderId="14" xfId="0" applyFont="1" applyBorder="1" applyAlignment="1">
      <alignment horizontal="left" vertical="center"/>
    </xf>
    <xf numFmtId="0" fontId="0" fillId="0" borderId="8" xfId="0" applyBorder="1"/>
    <xf numFmtId="0" fontId="1" fillId="3" borderId="23" xfId="0" applyFont="1" applyFill="1" applyBorder="1"/>
    <xf numFmtId="0" fontId="1" fillId="3" borderId="25" xfId="0" applyFont="1" applyFill="1" applyBorder="1"/>
    <xf numFmtId="0" fontId="24" fillId="13" borderId="1" xfId="0" applyFont="1" applyFill="1" applyBorder="1"/>
    <xf numFmtId="0" fontId="24" fillId="13" borderId="23" xfId="0" applyFont="1" applyFill="1" applyBorder="1"/>
    <xf numFmtId="0" fontId="1" fillId="0" borderId="5" xfId="0" applyFont="1" applyBorder="1"/>
    <xf numFmtId="0" fontId="0" fillId="0" borderId="5" xfId="0" applyBorder="1"/>
    <xf numFmtId="0" fontId="24" fillId="13" borderId="24" xfId="0" applyFont="1" applyFill="1" applyBorder="1"/>
    <xf numFmtId="0" fontId="24" fillId="13" borderId="25" xfId="0" applyFont="1" applyFill="1" applyBorder="1"/>
    <xf numFmtId="0" fontId="0" fillId="0" borderId="13" xfId="0" applyBorder="1"/>
    <xf numFmtId="0" fontId="25" fillId="0" borderId="0" xfId="0" applyFont="1"/>
    <xf numFmtId="0" fontId="19" fillId="12" borderId="21" xfId="0" applyFont="1" applyFill="1" applyBorder="1" applyAlignment="1">
      <alignment horizontal="center"/>
    </xf>
    <xf numFmtId="0" fontId="16" fillId="2" borderId="1" xfId="0" applyFont="1" applyFill="1" applyBorder="1" applyAlignment="1">
      <alignment horizontal="center"/>
    </xf>
    <xf numFmtId="0" fontId="16" fillId="4" borderId="1" xfId="0" applyFont="1" applyFill="1" applyBorder="1" applyAlignment="1">
      <alignment horizontal="center"/>
    </xf>
    <xf numFmtId="0" fontId="26" fillId="0" borderId="0" xfId="0" applyFont="1" applyAlignment="1">
      <alignment vertical="center"/>
    </xf>
    <xf numFmtId="0" fontId="2" fillId="0" borderId="9" xfId="0" applyFont="1" applyBorder="1" applyAlignment="1">
      <alignment vertical="center" wrapText="1"/>
    </xf>
    <xf numFmtId="0" fontId="3" fillId="0" borderId="31" xfId="0" applyFont="1" applyBorder="1" applyAlignment="1">
      <alignment vertical="center" wrapText="1"/>
    </xf>
    <xf numFmtId="0" fontId="4" fillId="2" borderId="9" xfId="0" applyFont="1" applyFill="1" applyBorder="1" applyAlignment="1">
      <alignment vertical="center"/>
    </xf>
    <xf numFmtId="0" fontId="4" fillId="2" borderId="9" xfId="0" applyFont="1" applyFill="1" applyBorder="1" applyAlignment="1">
      <alignment horizontal="center"/>
    </xf>
    <xf numFmtId="0" fontId="10" fillId="0" borderId="0" xfId="0" applyFont="1" applyAlignment="1">
      <alignment vertical="center"/>
    </xf>
    <xf numFmtId="0" fontId="10" fillId="0" borderId="1" xfId="0" applyFont="1" applyBorder="1" applyAlignment="1">
      <alignment vertical="center"/>
    </xf>
    <xf numFmtId="0" fontId="0" fillId="14" borderId="1" xfId="0" applyFill="1" applyBorder="1" applyProtection="1">
      <protection hidden="1"/>
    </xf>
    <xf numFmtId="0" fontId="9" fillId="0" borderId="1" xfId="0" applyFont="1" applyBorder="1" applyAlignment="1">
      <alignment vertical="top" wrapText="1"/>
    </xf>
    <xf numFmtId="0" fontId="7" fillId="0" borderId="0" xfId="0" applyFont="1" applyAlignment="1">
      <alignment vertical="top"/>
    </xf>
    <xf numFmtId="0" fontId="8" fillId="0" borderId="0" xfId="0" applyFont="1" applyAlignment="1">
      <alignment vertical="top"/>
    </xf>
    <xf numFmtId="0" fontId="10" fillId="0" borderId="28" xfId="0" applyFont="1" applyBorder="1" applyAlignment="1">
      <alignment vertical="top"/>
    </xf>
    <xf numFmtId="0" fontId="0" fillId="0" borderId="0" xfId="0" applyAlignment="1">
      <alignment vertical="top"/>
    </xf>
    <xf numFmtId="0" fontId="1" fillId="3" borderId="1" xfId="0" applyFont="1" applyFill="1" applyBorder="1" applyAlignment="1">
      <alignment vertical="top"/>
    </xf>
    <xf numFmtId="0" fontId="5" fillId="2" borderId="1" xfId="0" applyFont="1" applyFill="1" applyBorder="1" applyAlignment="1">
      <alignment vertical="top"/>
    </xf>
    <xf numFmtId="0" fontId="6" fillId="9" borderId="1" xfId="0" applyFont="1" applyFill="1" applyBorder="1" applyAlignment="1">
      <alignment vertical="top"/>
    </xf>
    <xf numFmtId="0" fontId="9" fillId="0" borderId="1" xfId="0" applyFont="1" applyBorder="1" applyAlignment="1">
      <alignment vertical="top"/>
    </xf>
    <xf numFmtId="0" fontId="2" fillId="0" borderId="0" xfId="0" applyFont="1" applyAlignment="1">
      <alignment vertical="top"/>
    </xf>
    <xf numFmtId="0" fontId="6" fillId="4" borderId="1" xfId="0" applyFont="1" applyFill="1" applyBorder="1" applyAlignment="1">
      <alignment vertical="top"/>
    </xf>
    <xf numFmtId="0" fontId="6" fillId="6" borderId="1" xfId="0" applyFont="1" applyFill="1" applyBorder="1" applyAlignment="1">
      <alignment vertical="top"/>
    </xf>
    <xf numFmtId="0" fontId="6" fillId="10" borderId="1" xfId="0" applyFont="1" applyFill="1" applyBorder="1" applyAlignment="1">
      <alignment vertical="top"/>
    </xf>
    <xf numFmtId="0" fontId="0" fillId="0" borderId="1" xfId="0" applyBorder="1" applyAlignment="1">
      <alignment vertical="top"/>
    </xf>
    <xf numFmtId="0" fontId="9" fillId="5" borderId="1" xfId="0" applyFont="1" applyFill="1" applyBorder="1" applyAlignment="1">
      <alignment vertical="top"/>
    </xf>
    <xf numFmtId="0" fontId="6" fillId="7" borderId="1" xfId="0" applyFont="1" applyFill="1" applyBorder="1" applyAlignment="1">
      <alignment vertical="top"/>
    </xf>
    <xf numFmtId="0" fontId="17" fillId="0" borderId="1" xfId="0" applyFont="1" applyBorder="1" applyAlignment="1">
      <alignment vertical="top"/>
    </xf>
    <xf numFmtId="0" fontId="5" fillId="11" borderId="1" xfId="0" applyFont="1" applyFill="1" applyBorder="1" applyAlignment="1">
      <alignment vertical="top"/>
    </xf>
    <xf numFmtId="0" fontId="2" fillId="15" borderId="1" xfId="0" applyFont="1" applyFill="1" applyBorder="1" applyAlignment="1">
      <alignment horizontal="center"/>
    </xf>
    <xf numFmtId="0" fontId="15" fillId="0" borderId="10" xfId="0" applyFont="1" applyBorder="1" applyAlignment="1">
      <alignment horizontal="left" vertical="center"/>
    </xf>
    <xf numFmtId="0" fontId="15" fillId="0" borderId="1" xfId="0" applyFont="1" applyBorder="1" applyAlignment="1">
      <alignment vertical="center" wrapText="1"/>
    </xf>
    <xf numFmtId="49" fontId="13" fillId="15" borderId="1" xfId="0" applyNumberFormat="1" applyFont="1" applyFill="1" applyBorder="1" applyAlignment="1">
      <alignment horizontal="left" vertical="center"/>
    </xf>
    <xf numFmtId="0" fontId="2" fillId="0" borderId="32" xfId="0" applyFont="1" applyBorder="1" applyAlignment="1">
      <alignment horizontal="left" vertical="center"/>
    </xf>
    <xf numFmtId="0" fontId="2" fillId="0" borderId="10" xfId="0" applyFont="1" applyBorder="1" applyAlignment="1">
      <alignment horizontal="left" vertical="center"/>
    </xf>
    <xf numFmtId="49" fontId="13" fillId="6"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0" fontId="13" fillId="15" borderId="1" xfId="0" applyFont="1" applyFill="1" applyBorder="1" applyAlignment="1">
      <alignment horizontal="left" vertical="center"/>
    </xf>
    <xf numFmtId="49" fontId="13" fillId="16" borderId="1" xfId="0" applyNumberFormat="1" applyFont="1" applyFill="1" applyBorder="1" applyAlignment="1">
      <alignment horizontal="left" vertical="center"/>
    </xf>
    <xf numFmtId="0" fontId="13" fillId="16" borderId="1" xfId="0" applyFont="1" applyFill="1" applyBorder="1" applyAlignment="1">
      <alignment horizontal="left" vertical="center"/>
    </xf>
    <xf numFmtId="0" fontId="13" fillId="0" borderId="1" xfId="0" applyFont="1" applyBorder="1" applyAlignment="1">
      <alignment horizontal="left" vertical="center"/>
    </xf>
    <xf numFmtId="49" fontId="27" fillId="16" borderId="1" xfId="0" applyNumberFormat="1" applyFont="1" applyFill="1" applyBorder="1" applyAlignment="1">
      <alignment horizontal="left" vertical="center"/>
    </xf>
    <xf numFmtId="0" fontId="27" fillId="16" borderId="1" xfId="0" applyFont="1" applyFill="1" applyBorder="1" applyAlignment="1">
      <alignment horizontal="left" vertical="center"/>
    </xf>
    <xf numFmtId="0" fontId="28" fillId="0" borderId="0" xfId="0" applyFont="1"/>
    <xf numFmtId="0" fontId="0" fillId="4" borderId="0" xfId="0" applyFill="1"/>
    <xf numFmtId="0" fontId="0" fillId="6" borderId="0" xfId="0" applyFill="1"/>
    <xf numFmtId="0" fontId="2" fillId="6" borderId="32" xfId="0" applyFont="1" applyFill="1" applyBorder="1" applyAlignment="1">
      <alignment horizontal="left" vertical="center"/>
    </xf>
    <xf numFmtId="49" fontId="15" fillId="0" borderId="1" xfId="0" applyNumberFormat="1" applyFont="1" applyBorder="1" applyAlignment="1">
      <alignment horizontal="left" vertical="center"/>
    </xf>
    <xf numFmtId="0" fontId="0" fillId="0" borderId="1" xfId="0" applyBorder="1" applyAlignment="1">
      <alignment horizontal="center"/>
    </xf>
    <xf numFmtId="49" fontId="4" fillId="2" borderId="1"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xf numFmtId="0" fontId="0" fillId="0" borderId="4" xfId="0" applyBorder="1"/>
    <xf numFmtId="0" fontId="0" fillId="0" borderId="3" xfId="0" applyBorder="1" applyAlignment="1">
      <alignment vertical="center"/>
    </xf>
    <xf numFmtId="0" fontId="0" fillId="0" borderId="4" xfId="0"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1" xfId="0" applyFont="1" applyFill="1" applyBorder="1" applyAlignment="1">
      <alignment horizontal="left" vertical="center" wrapText="1"/>
    </xf>
    <xf numFmtId="0" fontId="0" fillId="0" borderId="1" xfId="0"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7" fillId="0" borderId="0" xfId="0" applyFont="1" applyAlignment="1">
      <alignment horizontal="left"/>
    </xf>
    <xf numFmtId="0" fontId="10" fillId="0" borderId="28" xfId="0" applyFont="1" applyBorder="1" applyAlignment="1">
      <alignment horizontal="left"/>
    </xf>
    <xf numFmtId="0" fontId="3" fillId="3" borderId="1" xfId="0" applyFont="1" applyFill="1" applyBorder="1" applyAlignment="1">
      <alignment horizontal="center" vertical="center" wrapText="1"/>
    </xf>
    <xf numFmtId="0" fontId="19" fillId="12" borderId="20" xfId="0" applyFont="1" applyFill="1" applyBorder="1" applyAlignment="1">
      <alignment horizontal="center"/>
    </xf>
    <xf numFmtId="0" fontId="19" fillId="12" borderId="21" xfId="0" applyFont="1" applyFill="1" applyBorder="1" applyAlignment="1">
      <alignment horizontal="center"/>
    </xf>
    <xf numFmtId="0" fontId="19" fillId="12" borderId="22" xfId="0" applyFont="1" applyFill="1" applyBorder="1" applyAlignment="1">
      <alignment horizontal="center"/>
    </xf>
  </cellXfs>
  <cellStyles count="1">
    <cellStyle name="Normal" xfId="0" builtinId="0"/>
  </cellStyles>
  <dxfs count="10">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s>
  <tableStyles count="0" defaultTableStyle="TableStyleMedium9"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F0F53652-476A-4C48-9CDB-A45086802933}">
    <Anchor>
      <Comment id="{B9054140-F3A4-4147-A55A-E5CF857E4DAB}"/>
    </Anchor>
    <History>
      <Event time="2025-11-03T13:04:33.83" id="{697BF492-11D0-4B0D-A2B1-797215EBF45C}">
        <Attribution userId="S::adrian.chirita@falcon.ro::2e0b8096-77f8-48e5-b1de-880d2b6ac8c9" userName="Adrian Chirita" userProvider="AD"/>
        <Anchor>
          <Comment id="{B9054140-F3A4-4147-A55A-E5CF857E4DAB}"/>
        </Anchor>
        <Create/>
      </Event>
      <Event time="2025-11-03T13:04:33.83" id="{99E90FBE-D539-4888-A976-5BF54C61804E}">
        <Attribution userId="S::adrian.chirita@falcon.ro::2e0b8096-77f8-48e5-b1de-880d2b6ac8c9" userName="Adrian Chirita" userProvider="AD"/>
        <Anchor>
          <Comment id="{B9054140-F3A4-4147-A55A-E5CF857E4DAB}"/>
        </Anchor>
        <Assign userId="S::adrian.mojoatca@falcon.ro::38e90732-8e1a-4d13-ab15-53ad42fa586a" userName="Adrian Mojoatca" userProvider="AD"/>
      </Event>
      <Event time="2025-11-03T13:04:33.83" id="{0D654635-56AA-41B6-84FB-3B734EDE9A50}">
        <Attribution userId="S::adrian.chirita@falcon.ro::2e0b8096-77f8-48e5-b1de-880d2b6ac8c9" userName="Adrian Chirita" userProvider="AD"/>
        <Anchor>
          <Comment id="{B9054140-F3A4-4147-A55A-E5CF857E4DAB}"/>
        </Anchor>
        <SetTitle title="@Adrian Mojoatca Starter input nu era activ, l-am trecut eu."/>
      </Event>
      <Event time="2025-11-03T13:56:54.99" id="{C8816BE4-0D7F-434D-A0E5-ECDF8A58A8DB}">
        <Attribution userId="S::adrian.chirita@falcon.ro::2e0b8096-77f8-48e5-b1de-880d2b6ac8c9" userName="Adrian Chirit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drian Mojoatca" id="{FDFA5DB2-7ADA-44BE-B942-0283ACF73EBB}" userId="adrian.mojoatca@falcon.ro" providerId="PeoplePicker"/>
  <person displayName="Adrian Chirita" id="{F5CECBB4-D90E-4E29-8AD7-C42AFEBBACB6}" userId="S::adrian.chirita@falcon.ro::2e0b8096-77f8-48e5-b1de-880d2b6ac8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29735-CCDE-4D70-BCF3-F1939143BD87}" name="ConnectionTable" displayName="ConnectionTable" ref="E3:E7" totalsRowShown="0" headerRowDxfId="9">
  <autoFilter ref="E3:E7" xr:uid="{AFCF699F-30CE-43FB-99AA-F6B79F890248}"/>
  <tableColumns count="1">
    <tableColumn id="1" xr3:uid="{FB264DA7-35F5-4BC6-8570-95AB67B9213E}" name="Connec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75008E-8787-4FB2-8269-CFF66D8AE5E7}" name="ConnectTo" displayName="ConnectTo" ref="E20:E28" totalsRowShown="0" headerRowDxfId="8">
  <autoFilter ref="E20:E28" xr:uid="{342C2F5F-6573-465E-B0E5-DAEA09BDDBB6}"/>
  <tableColumns count="1">
    <tableColumn id="1" xr3:uid="{C59B406B-4228-43D0-9817-0C20153A2A6F}" name="Connect T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097111-05E0-4B63-8039-8937A0E35B9C}" name="Function" displayName="Function" ref="I3:I115" totalsRowShown="0" headerRowDxfId="7">
  <autoFilter ref="I3:I115" xr:uid="{597803D6-D073-46C7-AA15-8758CCFCF36E}"/>
  <tableColumns count="1">
    <tableColumn id="1" xr3:uid="{D157E027-8657-4B1A-BFD7-D7EF22669630}" name="Func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6B614-7A19-48F4-9E69-98535B51BAFF}" name="Tag" displayName="Tag" ref="G3:G153" totalsRowShown="0" headerRowDxfId="6">
  <autoFilter ref="G3:G153" xr:uid="{9B6B5024-A965-41BA-A135-33A06972A441}"/>
  <tableColumns count="1">
    <tableColumn id="1" xr3:uid="{AD6C3E1B-FA5D-4EAB-8F8D-8E4A672C17BA}" name="Tag"/>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E59FD9-4AFC-4B2A-A141-AC2294A750F2}" name="PolarityT" displayName="PolarityT" ref="E9:E18" totalsRowShown="0" headerRowDxfId="5">
  <autoFilter ref="E9:E18" xr:uid="{600B9A0F-5477-449B-96B0-AA818BBDA94B}"/>
  <tableColumns count="1">
    <tableColumn id="1" xr3:uid="{FE048E66-6FBE-4590-81F4-5C0C1166670A}" name="Polar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2" dT="2025-11-03T13:04:33.83" personId="{F5CECBB4-D90E-4E29-8AD7-C42AFEBBACB6}" id="{B9054140-F3A4-4147-A55A-E5CF857E4DAB}" done="1">
    <text>@Adrian Mojoatca 
Starter input nu era activ aici, l-am trecut eu.</text>
    <mentions>
      <mention mentionpersonId="{FDFA5DB2-7ADA-44BE-B942-0283ACF73EBB}" mentionId="{67EEDD82-71BF-4783-9F06-5F7E29A8EFA7}" startIndex="0" length="16"/>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12" Type="http://schemas.microsoft.com/office/2019/04/relationships/documenttask" Target="../documenttasks/documenttask1.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11" Type="http://schemas.microsoft.com/office/2017/10/relationships/threadedComment" Target="../threadedComments/threadedComment1.xml"/><Relationship Id="rId5" Type="http://schemas.openxmlformats.org/officeDocument/2006/relationships/printerSettings" Target="../printerSettings/printerSettings14.bin"/><Relationship Id="rId10" Type="http://schemas.openxmlformats.org/officeDocument/2006/relationships/comments" Target="../comments1.xml"/><Relationship Id="rId4" Type="http://schemas.openxmlformats.org/officeDocument/2006/relationships/printerSettings" Target="../printerSettings/printerSettings13.bin"/><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openxmlformats.org/officeDocument/2006/relationships/printerSettings" Target="../printerSettings/printerSettings29.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5" Type="http://schemas.openxmlformats.org/officeDocument/2006/relationships/printerSettings" Target="../printerSettings/printerSettings34.bin"/><Relationship Id="rId4"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44.bin"/><Relationship Id="rId3" Type="http://schemas.openxmlformats.org/officeDocument/2006/relationships/printerSettings" Target="../printerSettings/printerSettings39.bin"/><Relationship Id="rId7" Type="http://schemas.openxmlformats.org/officeDocument/2006/relationships/printerSettings" Target="../printerSettings/printerSettings43.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printerSettings" Target="../printerSettings/printerSettings55.bin"/><Relationship Id="rId7" Type="http://schemas.openxmlformats.org/officeDocument/2006/relationships/printerSettings" Target="../printerSettings/printerSettings59.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6" Type="http://schemas.openxmlformats.org/officeDocument/2006/relationships/printerSettings" Target="../printerSettings/printerSettings58.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zoomScale="121" zoomScaleNormal="140" workbookViewId="0">
      <pane ySplit="2" topLeftCell="A3" activePane="bottomLeft" state="frozen"/>
      <selection pane="bottomLeft" activeCell="E22" sqref="E22"/>
    </sheetView>
  </sheetViews>
  <sheetFormatPr defaultColWidth="9.109375" defaultRowHeight="14.4" x14ac:dyDescent="0.3"/>
  <cols>
    <col min="1" max="1" width="54.6640625" customWidth="1"/>
    <col min="2" max="2" width="4.6640625" bestFit="1" customWidth="1"/>
    <col min="3" max="3" width="6" bestFit="1" customWidth="1"/>
    <col min="4" max="5" width="5.109375" bestFit="1" customWidth="1"/>
    <col min="6" max="7" width="9.109375" style="11"/>
    <col min="10" max="10" width="12.6640625" customWidth="1"/>
  </cols>
  <sheetData>
    <row r="1" spans="1:12" ht="15.6" x14ac:dyDescent="0.3">
      <c r="A1" s="145" t="s">
        <v>0</v>
      </c>
      <c r="B1" s="3"/>
      <c r="C1" s="3"/>
      <c r="D1" s="3"/>
      <c r="E1" s="3"/>
      <c r="F1" s="247"/>
      <c r="G1" s="247"/>
    </row>
    <row r="2" spans="1:12" ht="28.8" x14ac:dyDescent="0.3">
      <c r="A2" s="28" t="s">
        <v>1</v>
      </c>
      <c r="B2" s="146" t="s">
        <v>2</v>
      </c>
      <c r="C2" s="146" t="s">
        <v>3</v>
      </c>
      <c r="D2" s="146" t="s">
        <v>4</v>
      </c>
      <c r="E2" s="146" t="s">
        <v>5</v>
      </c>
      <c r="F2" s="148"/>
      <c r="G2" s="148"/>
    </row>
    <row r="3" spans="1:12" x14ac:dyDescent="0.3">
      <c r="A3" s="29" t="s">
        <v>6</v>
      </c>
      <c r="B3" s="3"/>
      <c r="C3" s="3"/>
      <c r="D3" s="202"/>
      <c r="E3" s="3"/>
    </row>
    <row r="4" spans="1:12" x14ac:dyDescent="0.3">
      <c r="A4" s="29" t="s">
        <v>7</v>
      </c>
      <c r="B4" s="3"/>
      <c r="C4" s="3"/>
      <c r="D4" s="202"/>
      <c r="E4" s="3"/>
    </row>
    <row r="5" spans="1:12" x14ac:dyDescent="0.3">
      <c r="A5" s="29" t="s">
        <v>8</v>
      </c>
      <c r="B5" s="3"/>
      <c r="C5" s="3"/>
      <c r="D5" s="202"/>
      <c r="E5" s="3"/>
      <c r="J5" s="246"/>
      <c r="K5" s="246"/>
      <c r="L5" s="246"/>
    </row>
    <row r="6" spans="1:12" x14ac:dyDescent="0.3">
      <c r="A6" s="29" t="s">
        <v>9</v>
      </c>
      <c r="B6" s="3"/>
      <c r="C6" s="3"/>
      <c r="D6" s="202"/>
      <c r="E6" s="3"/>
      <c r="J6" s="148"/>
      <c r="K6" s="148"/>
      <c r="L6" s="148"/>
    </row>
    <row r="7" spans="1:12" x14ac:dyDescent="0.3">
      <c r="A7" s="29" t="s">
        <v>10</v>
      </c>
      <c r="B7" s="3"/>
      <c r="C7" s="3"/>
      <c r="D7" s="202"/>
      <c r="E7" s="3"/>
    </row>
    <row r="8" spans="1:12" x14ac:dyDescent="0.3">
      <c r="A8" s="29" t="s">
        <v>11</v>
      </c>
      <c r="B8" s="3"/>
      <c r="C8" s="3"/>
      <c r="D8" s="202"/>
      <c r="E8" s="3"/>
    </row>
    <row r="9" spans="1:12" x14ac:dyDescent="0.3">
      <c r="A9" s="29" t="s">
        <v>12</v>
      </c>
      <c r="B9" s="3"/>
      <c r="C9" s="3"/>
      <c r="D9" s="202"/>
      <c r="E9" s="3"/>
    </row>
    <row r="10" spans="1:12" x14ac:dyDescent="0.3">
      <c r="A10" s="29" t="s">
        <v>13</v>
      </c>
      <c r="B10" s="3"/>
      <c r="C10" s="3"/>
      <c r="D10" s="202"/>
      <c r="E10" s="3"/>
    </row>
    <row r="11" spans="1:12" x14ac:dyDescent="0.3">
      <c r="A11" s="29" t="s">
        <v>14</v>
      </c>
      <c r="B11" s="3"/>
      <c r="C11" s="3"/>
      <c r="D11" s="202"/>
      <c r="E11" s="3"/>
    </row>
    <row r="12" spans="1:12" x14ac:dyDescent="0.3">
      <c r="A12" s="29" t="s">
        <v>15</v>
      </c>
      <c r="B12" s="3"/>
      <c r="C12" s="3"/>
      <c r="D12" s="202"/>
      <c r="E12" s="3"/>
    </row>
    <row r="13" spans="1:12" x14ac:dyDescent="0.3">
      <c r="A13" s="29" t="s">
        <v>16</v>
      </c>
      <c r="B13" s="3" t="s">
        <v>959</v>
      </c>
      <c r="C13" s="3" t="s">
        <v>959</v>
      </c>
      <c r="D13" s="202"/>
      <c r="E13" s="3" t="s">
        <v>959</v>
      </c>
    </row>
    <row r="14" spans="1:12" x14ac:dyDescent="0.3">
      <c r="A14" s="29" t="s">
        <v>17</v>
      </c>
      <c r="B14" s="3" t="s">
        <v>959</v>
      </c>
      <c r="C14" s="3" t="s">
        <v>959</v>
      </c>
      <c r="D14" s="202"/>
      <c r="E14" s="3" t="s">
        <v>959</v>
      </c>
    </row>
    <row r="15" spans="1:12" x14ac:dyDescent="0.3">
      <c r="A15" s="29" t="s">
        <v>18</v>
      </c>
      <c r="B15" s="3" t="s">
        <v>959</v>
      </c>
      <c r="C15" s="3" t="s">
        <v>959</v>
      </c>
      <c r="D15" s="202"/>
      <c r="E15" s="3"/>
    </row>
    <row r="16" spans="1:12" x14ac:dyDescent="0.3">
      <c r="A16" s="29" t="s">
        <v>19</v>
      </c>
      <c r="B16" s="3" t="s">
        <v>959</v>
      </c>
      <c r="C16" s="3" t="s">
        <v>959</v>
      </c>
      <c r="D16" s="202"/>
      <c r="E16" s="3"/>
    </row>
    <row r="17" spans="1:5" x14ac:dyDescent="0.3">
      <c r="A17" s="29" t="s">
        <v>20</v>
      </c>
      <c r="B17" s="3"/>
      <c r="C17" s="3"/>
      <c r="D17" s="202"/>
      <c r="E17" s="3"/>
    </row>
    <row r="18" spans="1:5" x14ac:dyDescent="0.3">
      <c r="A18" s="29" t="s">
        <v>21</v>
      </c>
      <c r="B18" s="3"/>
      <c r="C18" s="3"/>
      <c r="D18" s="202"/>
      <c r="E18" s="3"/>
    </row>
    <row r="19" spans="1:5" x14ac:dyDescent="0.3">
      <c r="A19" s="29" t="s">
        <v>22</v>
      </c>
      <c r="B19" s="3"/>
      <c r="C19" s="3"/>
      <c r="D19" s="202"/>
      <c r="E19" s="3"/>
    </row>
    <row r="20" spans="1:5" x14ac:dyDescent="0.3">
      <c r="A20" s="29" t="s">
        <v>23</v>
      </c>
      <c r="B20" s="3"/>
      <c r="C20" s="3"/>
      <c r="D20" s="202"/>
      <c r="E20" s="3"/>
    </row>
    <row r="21" spans="1:5" x14ac:dyDescent="0.3">
      <c r="A21" s="29" t="s">
        <v>24</v>
      </c>
      <c r="B21" s="3"/>
      <c r="C21" s="3"/>
      <c r="D21" s="202"/>
      <c r="E21" s="3"/>
    </row>
    <row r="22" spans="1:5" x14ac:dyDescent="0.3">
      <c r="A22" s="29" t="s">
        <v>25</v>
      </c>
      <c r="B22" s="3" t="s">
        <v>959</v>
      </c>
      <c r="C22" s="3" t="s">
        <v>959</v>
      </c>
      <c r="D22" s="202"/>
      <c r="E22" s="3" t="s">
        <v>959</v>
      </c>
    </row>
    <row r="23" spans="1:5" x14ac:dyDescent="0.3">
      <c r="A23" s="29" t="s">
        <v>26</v>
      </c>
      <c r="B23" s="202"/>
      <c r="C23" s="202"/>
      <c r="D23" s="202"/>
      <c r="E23" s="3"/>
    </row>
    <row r="24" spans="1:5" x14ac:dyDescent="0.3">
      <c r="A24" s="29" t="s">
        <v>27</v>
      </c>
      <c r="B24" s="3"/>
      <c r="C24" s="202"/>
      <c r="D24" s="202"/>
      <c r="E24" s="3"/>
    </row>
    <row r="25" spans="1:5" x14ac:dyDescent="0.3">
      <c r="A25" s="29" t="s">
        <v>28</v>
      </c>
      <c r="B25" s="3"/>
      <c r="C25" s="3"/>
      <c r="D25" s="202"/>
      <c r="E25" s="3"/>
    </row>
    <row r="26" spans="1:5" x14ac:dyDescent="0.3">
      <c r="A26" s="29" t="s">
        <v>29</v>
      </c>
      <c r="B26" s="3" t="s">
        <v>959</v>
      </c>
      <c r="C26" s="3" t="s">
        <v>959</v>
      </c>
      <c r="D26" s="202"/>
      <c r="E26" s="3" t="s">
        <v>959</v>
      </c>
    </row>
    <row r="27" spans="1:5" x14ac:dyDescent="0.3">
      <c r="A27" s="29" t="s">
        <v>30</v>
      </c>
      <c r="B27" s="202"/>
      <c r="C27" s="202"/>
      <c r="D27" s="202"/>
      <c r="E27" s="3" t="s">
        <v>959</v>
      </c>
    </row>
    <row r="28" spans="1:5" x14ac:dyDescent="0.3">
      <c r="A28" s="29" t="s">
        <v>31</v>
      </c>
      <c r="B28" s="202"/>
      <c r="C28" s="202"/>
      <c r="D28" s="202"/>
      <c r="E28" s="3" t="s">
        <v>959</v>
      </c>
    </row>
    <row r="29" spans="1:5" x14ac:dyDescent="0.3">
      <c r="A29" s="29" t="s">
        <v>32</v>
      </c>
      <c r="B29" s="202"/>
      <c r="C29" s="202"/>
      <c r="D29" s="202"/>
      <c r="E29" s="202"/>
    </row>
    <row r="30" spans="1:5" x14ac:dyDescent="0.3">
      <c r="A30" s="29" t="s">
        <v>33</v>
      </c>
      <c r="B30" s="3" t="s">
        <v>959</v>
      </c>
      <c r="C30" s="3" t="s">
        <v>959</v>
      </c>
      <c r="D30" s="202"/>
      <c r="E30" s="3" t="s">
        <v>959</v>
      </c>
    </row>
    <row r="31" spans="1:5" x14ac:dyDescent="0.3">
      <c r="A31" s="29" t="s">
        <v>34</v>
      </c>
      <c r="B31" s="3"/>
      <c r="C31" s="202"/>
      <c r="D31" s="202"/>
      <c r="E31" s="202"/>
    </row>
    <row r="32" spans="1:5" x14ac:dyDescent="0.3">
      <c r="A32" s="29" t="s">
        <v>35</v>
      </c>
      <c r="B32" s="3"/>
      <c r="C32" s="202"/>
      <c r="D32" s="202"/>
      <c r="E32" s="3"/>
    </row>
    <row r="33" spans="1:5" x14ac:dyDescent="0.3">
      <c r="A33" s="29" t="s">
        <v>36</v>
      </c>
      <c r="B33" s="3" t="s">
        <v>959</v>
      </c>
      <c r="C33" s="3" t="s">
        <v>959</v>
      </c>
      <c r="D33" s="202"/>
      <c r="E33" s="3" t="s">
        <v>959</v>
      </c>
    </row>
    <row r="34" spans="1:5" x14ac:dyDescent="0.3">
      <c r="A34" s="29" t="s">
        <v>37</v>
      </c>
      <c r="B34" s="3" t="s">
        <v>959</v>
      </c>
      <c r="C34" s="3" t="s">
        <v>959</v>
      </c>
      <c r="D34" s="202"/>
      <c r="E34" s="3" t="s">
        <v>959</v>
      </c>
    </row>
    <row r="35" spans="1:5" x14ac:dyDescent="0.3">
      <c r="A35" s="29" t="s">
        <v>38</v>
      </c>
      <c r="B35" s="3" t="s">
        <v>959</v>
      </c>
      <c r="C35" s="3" t="s">
        <v>959</v>
      </c>
      <c r="D35" s="202"/>
      <c r="E35" s="3" t="s">
        <v>959</v>
      </c>
    </row>
    <row r="36" spans="1:5" x14ac:dyDescent="0.3">
      <c r="A36" s="29" t="s">
        <v>39</v>
      </c>
      <c r="B36" s="3" t="s">
        <v>959</v>
      </c>
      <c r="C36" s="3" t="s">
        <v>959</v>
      </c>
      <c r="D36" s="202"/>
      <c r="E36" s="3" t="s">
        <v>959</v>
      </c>
    </row>
    <row r="37" spans="1:5" x14ac:dyDescent="0.3">
      <c r="A37" s="29" t="s">
        <v>40</v>
      </c>
      <c r="B37" s="3"/>
      <c r="C37" s="202"/>
      <c r="D37" s="202"/>
      <c r="E37" s="3"/>
    </row>
    <row r="38" spans="1:5" x14ac:dyDescent="0.3">
      <c r="A38" s="29" t="s">
        <v>41</v>
      </c>
      <c r="B38" s="3" t="s">
        <v>959</v>
      </c>
      <c r="C38" s="3" t="s">
        <v>959</v>
      </c>
      <c r="D38" s="202"/>
      <c r="E38" s="3" t="s">
        <v>959</v>
      </c>
    </row>
    <row r="39" spans="1:5" x14ac:dyDescent="0.3">
      <c r="A39" s="29" t="s">
        <v>42</v>
      </c>
      <c r="B39" s="3"/>
      <c r="C39" s="202"/>
      <c r="D39" s="202"/>
      <c r="E39" s="3"/>
    </row>
    <row r="40" spans="1:5" x14ac:dyDescent="0.3">
      <c r="A40" s="29" t="s">
        <v>43</v>
      </c>
      <c r="B40" s="3" t="s">
        <v>959</v>
      </c>
      <c r="C40" s="3" t="s">
        <v>959</v>
      </c>
      <c r="D40" s="202"/>
      <c r="E40" s="3" t="s">
        <v>959</v>
      </c>
    </row>
    <row r="41" spans="1:5" x14ac:dyDescent="0.3">
      <c r="A41" s="29" t="s">
        <v>44</v>
      </c>
      <c r="B41" s="3" t="s">
        <v>959</v>
      </c>
      <c r="C41" s="3" t="s">
        <v>959</v>
      </c>
      <c r="D41" s="202"/>
      <c r="E41" s="3" t="s">
        <v>959</v>
      </c>
    </row>
    <row r="42" spans="1:5" x14ac:dyDescent="0.3">
      <c r="A42" s="147" t="s">
        <v>45</v>
      </c>
      <c r="B42" s="248" t="s">
        <v>46</v>
      </c>
      <c r="C42" s="248"/>
      <c r="D42" s="249" t="s">
        <v>47</v>
      </c>
      <c r="E42" s="248"/>
    </row>
    <row r="43" spans="1:5" x14ac:dyDescent="0.3">
      <c r="A43" s="3"/>
      <c r="B43" s="250"/>
      <c r="C43" s="251"/>
      <c r="D43" s="250"/>
      <c r="E43" s="251"/>
    </row>
  </sheetData>
  <sortState xmlns:xlrd2="http://schemas.microsoft.com/office/spreadsheetml/2017/richdata2" ref="A1:C43">
    <sortCondition ref="A1:A43"/>
  </sortState>
  <customSheetViews>
    <customSheetView guid="{C845FD7F-3CB2-4CBC-892C-E2474769F660}" topLeftCell="A7">
      <selection activeCell="A2" sqref="A1:XFD2"/>
      <pageMargins left="0" right="0" top="0" bottom="0" header="0" footer="0"/>
      <pageSetup orientation="portrait" r:id="rId1"/>
    </customSheetView>
    <customSheetView guid="{25BFA7C9-9C08-4E2D-B44F-21E683ECAB75}" topLeftCell="A7">
      <selection activeCell="A2" sqref="A1:XFD2"/>
      <pageMargins left="0" right="0" top="0" bottom="0" header="0" footer="0"/>
      <pageSetup orientation="portrait" r:id="rId2"/>
    </customSheetView>
    <customSheetView guid="{7ADF16FD-9B7D-42F1-AFE6-6E8D21F9D09B}">
      <selection activeCell="A2" sqref="A1:XFD2"/>
      <pageMargins left="0" right="0" top="0" bottom="0" header="0" footer="0"/>
      <pageSetup orientation="portrait" r:id="rId3"/>
    </customSheetView>
    <customSheetView guid="{31D107EB-A48D-4232-90AA-7BB972732D83}" showPageBreaks="1" topLeftCell="A7">
      <selection activeCell="A7" sqref="A7"/>
      <pageMargins left="0" right="0" top="0" bottom="0" header="0" footer="0"/>
      <pageSetup orientation="portrait" r:id="rId4"/>
    </customSheetView>
    <customSheetView guid="{EE8DE643-7531-4BA6-A2AE-CA7A0FACFBB5}" fitToPage="1">
      <selection activeCell="A51" sqref="A51"/>
      <pageMargins left="0" right="0" top="0" bottom="0" header="0" footer="0"/>
      <pageSetup orientation="portrait" r:id="rId5"/>
    </customSheetView>
    <customSheetView guid="{5E8C3AE4-233F-4E25-872C-6621CB9B96CA}">
      <selection activeCell="G13" sqref="G13"/>
      <pageMargins left="0" right="0" top="0" bottom="0" header="0" footer="0"/>
      <pageSetup orientation="portrait" r:id="rId6"/>
    </customSheetView>
    <customSheetView guid="{E5A90478-501D-42C6-86FE-EBC9FB0438FD}" topLeftCell="A7">
      <selection activeCell="A2" sqref="A1:XFD2"/>
      <pageMargins left="0" right="0" top="0" bottom="0" header="0" footer="0"/>
      <pageSetup orientation="portrait" r:id="rId7"/>
    </customSheetView>
  </customSheetViews>
  <mergeCells count="6">
    <mergeCell ref="J5:L5"/>
    <mergeCell ref="F1:G1"/>
    <mergeCell ref="B42:C42"/>
    <mergeCell ref="D42:E42"/>
    <mergeCell ref="B43:C43"/>
    <mergeCell ref="D43:E43"/>
  </mergeCells>
  <pageMargins left="0.19685039370078741" right="0.19685039370078741" top="0.19685039370078741" bottom="0.19685039370078741" header="0.31496062992125984" footer="0.31496062992125984"/>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1"/>
  <sheetViews>
    <sheetView workbookViewId="0"/>
  </sheetViews>
  <sheetFormatPr defaultColWidth="9.109375" defaultRowHeight="14.4" x14ac:dyDescent="0.3"/>
  <cols>
    <col min="1" max="1" width="12.6640625" bestFit="1" customWidth="1"/>
    <col min="2" max="2" width="20.6640625" customWidth="1"/>
  </cols>
  <sheetData>
    <row r="2" spans="1:2" ht="15" thickBot="1" x14ac:dyDescent="0.35"/>
    <row r="3" spans="1:2" ht="15" thickBot="1" x14ac:dyDescent="0.35">
      <c r="A3" s="182" t="s">
        <v>48</v>
      </c>
      <c r="B3" s="183" t="s">
        <v>49</v>
      </c>
    </row>
    <row r="4" spans="1:2" x14ac:dyDescent="0.3">
      <c r="A4" s="180" t="s">
        <v>50</v>
      </c>
      <c r="B4" s="181" t="str">
        <f>'Install 40x ORI'!F35</f>
        <v>Lock Input</v>
      </c>
    </row>
    <row r="5" spans="1:2" x14ac:dyDescent="0.3">
      <c r="A5" s="178" t="s">
        <v>51</v>
      </c>
      <c r="B5" s="176" t="str">
        <f>'Install 40x ORI'!F36</f>
        <v>Unlock Input</v>
      </c>
    </row>
    <row r="6" spans="1:2" x14ac:dyDescent="0.3">
      <c r="A6" s="178" t="s">
        <v>52</v>
      </c>
      <c r="B6" s="176" t="str">
        <f>'Install 40x ORI'!F37</f>
        <v>Trunk Input</v>
      </c>
    </row>
    <row r="7" spans="1:2" x14ac:dyDescent="0.3">
      <c r="A7" s="178" t="s">
        <v>53</v>
      </c>
      <c r="B7" s="176">
        <f>'Install 40x ORI'!F38</f>
        <v>0</v>
      </c>
    </row>
    <row r="8" spans="1:2" x14ac:dyDescent="0.3">
      <c r="A8" s="178" t="s">
        <v>54</v>
      </c>
      <c r="B8" s="176">
        <f>'Install 40x ORI'!F39</f>
        <v>0</v>
      </c>
    </row>
    <row r="9" spans="1:2" ht="15" thickBot="1" x14ac:dyDescent="0.35">
      <c r="A9" s="179" t="s">
        <v>55</v>
      </c>
      <c r="B9" s="177">
        <f>'Install 40x ORI'!F40</f>
        <v>0</v>
      </c>
    </row>
    <row r="11" spans="1:2" x14ac:dyDescent="0.3">
      <c r="B11" t="s">
        <v>56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I48"/>
  <sheetViews>
    <sheetView topLeftCell="A12" zoomScaleNormal="100" workbookViewId="0">
      <selection activeCell="H44" sqref="H44"/>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3" bestFit="1" customWidth="1"/>
    <col min="6" max="9" width="34.6640625" style="23" customWidth="1"/>
    <col min="10" max="16384" width="9.109375" style="23"/>
  </cols>
  <sheetData>
    <row r="1" spans="1:9" s="19" customFormat="1" ht="15.6" x14ac:dyDescent="0.3">
      <c r="A1" s="18" t="s">
        <v>57</v>
      </c>
    </row>
    <row r="2" spans="1:9" s="19" customFormat="1" ht="15.6" x14ac:dyDescent="0.3">
      <c r="A2" s="18"/>
    </row>
    <row r="3" spans="1:9" ht="14.4" x14ac:dyDescent="0.3">
      <c r="A3" s="242" t="s">
        <v>58</v>
      </c>
      <c r="B3" s="243"/>
      <c r="C3" s="243"/>
      <c r="D3" s="243"/>
      <c r="E3" s="243"/>
      <c r="F3" s="243"/>
      <c r="G3" s="252"/>
      <c r="H3" s="252"/>
      <c r="I3" s="253"/>
    </row>
    <row r="4" spans="1:9" x14ac:dyDescent="0.3">
      <c r="A4" s="149" t="s">
        <v>59</v>
      </c>
      <c r="B4" s="149" t="s">
        <v>60</v>
      </c>
      <c r="C4" s="149" t="s">
        <v>61</v>
      </c>
      <c r="D4" s="149" t="s">
        <v>62</v>
      </c>
      <c r="E4" s="149" t="s">
        <v>63</v>
      </c>
      <c r="F4" s="149" t="s">
        <v>64</v>
      </c>
      <c r="G4" s="149" t="s">
        <v>65</v>
      </c>
      <c r="H4" s="149" t="s">
        <v>66</v>
      </c>
      <c r="I4" s="149" t="s">
        <v>67</v>
      </c>
    </row>
    <row r="5" spans="1:9" x14ac:dyDescent="0.2">
      <c r="A5" s="24">
        <v>1</v>
      </c>
      <c r="B5" s="25" t="s">
        <v>68</v>
      </c>
      <c r="C5" s="25" t="s">
        <v>69</v>
      </c>
      <c r="D5" s="25" t="s">
        <v>174</v>
      </c>
      <c r="E5" s="13" t="s">
        <v>71</v>
      </c>
      <c r="F5" s="25" t="s">
        <v>76</v>
      </c>
      <c r="G5" s="25" t="s">
        <v>77</v>
      </c>
      <c r="H5" s="25" t="s">
        <v>339</v>
      </c>
      <c r="I5" s="27"/>
    </row>
    <row r="6" spans="1:9" x14ac:dyDescent="0.2">
      <c r="A6" s="24">
        <v>2</v>
      </c>
      <c r="B6" s="25" t="s">
        <v>74</v>
      </c>
      <c r="C6" s="25" t="s">
        <v>69</v>
      </c>
      <c r="D6" s="25" t="s">
        <v>75</v>
      </c>
      <c r="E6" s="13" t="s">
        <v>71</v>
      </c>
      <c r="F6" s="25" t="s">
        <v>92</v>
      </c>
      <c r="G6" s="25" t="s">
        <v>77</v>
      </c>
      <c r="H6" s="25" t="s">
        <v>319</v>
      </c>
      <c r="I6" s="27"/>
    </row>
    <row r="7" spans="1:9" x14ac:dyDescent="0.2">
      <c r="A7" s="24">
        <v>3</v>
      </c>
      <c r="B7" s="25" t="s">
        <v>78</v>
      </c>
      <c r="C7" s="25" t="s">
        <v>69</v>
      </c>
      <c r="D7" s="25" t="s">
        <v>79</v>
      </c>
      <c r="E7" s="13" t="s">
        <v>87</v>
      </c>
      <c r="F7" s="25" t="s">
        <v>80</v>
      </c>
      <c r="G7" s="25" t="s">
        <v>73</v>
      </c>
      <c r="H7" s="25" t="s">
        <v>960</v>
      </c>
      <c r="I7" s="27"/>
    </row>
    <row r="8" spans="1:9" x14ac:dyDescent="0.2">
      <c r="A8" s="24">
        <v>4</v>
      </c>
      <c r="B8" s="25" t="s">
        <v>81</v>
      </c>
      <c r="C8" s="25" t="s">
        <v>69</v>
      </c>
      <c r="D8" s="25" t="s">
        <v>82</v>
      </c>
      <c r="E8" s="13" t="s">
        <v>87</v>
      </c>
      <c r="F8" s="25" t="s">
        <v>83</v>
      </c>
      <c r="G8" s="25" t="s">
        <v>73</v>
      </c>
      <c r="H8" s="25" t="s">
        <v>961</v>
      </c>
      <c r="I8" s="27"/>
    </row>
    <row r="9" spans="1:9" ht="22.8" x14ac:dyDescent="0.2">
      <c r="A9" s="24">
        <v>5</v>
      </c>
      <c r="B9" s="25" t="s">
        <v>84</v>
      </c>
      <c r="C9" s="25" t="s">
        <v>85</v>
      </c>
      <c r="D9" s="25" t="s">
        <v>86</v>
      </c>
      <c r="E9" s="13" t="s">
        <v>87</v>
      </c>
      <c r="F9" s="25" t="s">
        <v>88</v>
      </c>
      <c r="G9" s="25" t="s">
        <v>73</v>
      </c>
      <c r="H9" s="25" t="s">
        <v>818</v>
      </c>
      <c r="I9" s="27" t="s">
        <v>968</v>
      </c>
    </row>
    <row r="10" spans="1:9" x14ac:dyDescent="0.2">
      <c r="A10" s="24">
        <v>6</v>
      </c>
      <c r="B10" s="25" t="s">
        <v>89</v>
      </c>
      <c r="C10" s="25" t="s">
        <v>90</v>
      </c>
      <c r="D10" s="25" t="s">
        <v>91</v>
      </c>
      <c r="E10" s="13" t="s">
        <v>87</v>
      </c>
      <c r="F10" s="25" t="s">
        <v>95</v>
      </c>
      <c r="G10" s="25" t="s">
        <v>73</v>
      </c>
      <c r="H10" s="25" t="s">
        <v>690</v>
      </c>
      <c r="I10" s="27"/>
    </row>
    <row r="11" spans="1:9" x14ac:dyDescent="0.2">
      <c r="A11" s="24">
        <v>7</v>
      </c>
      <c r="B11" s="25" t="s">
        <v>93</v>
      </c>
      <c r="C11" s="25" t="s">
        <v>90</v>
      </c>
      <c r="D11" s="25" t="s">
        <v>94</v>
      </c>
      <c r="E11" s="13" t="s">
        <v>99</v>
      </c>
      <c r="F11" s="25"/>
      <c r="G11" s="25"/>
      <c r="H11" s="25"/>
      <c r="I11" s="27"/>
    </row>
    <row r="12" spans="1:9" ht="22.8" x14ac:dyDescent="0.2">
      <c r="A12" s="24">
        <v>8</v>
      </c>
      <c r="B12" s="25" t="s">
        <v>96</v>
      </c>
      <c r="C12" s="25" t="s">
        <v>97</v>
      </c>
      <c r="D12" s="25" t="s">
        <v>98</v>
      </c>
      <c r="E12" s="13" t="s">
        <v>87</v>
      </c>
      <c r="F12" s="25" t="s">
        <v>645</v>
      </c>
      <c r="G12" s="25" t="s">
        <v>73</v>
      </c>
      <c r="H12" s="25" t="s">
        <v>595</v>
      </c>
      <c r="I12" s="27" t="s">
        <v>969</v>
      </c>
    </row>
    <row r="13" spans="1:9" x14ac:dyDescent="0.2">
      <c r="A13" s="24">
        <v>9</v>
      </c>
      <c r="B13" s="25" t="s">
        <v>100</v>
      </c>
      <c r="C13" s="25" t="s">
        <v>97</v>
      </c>
      <c r="D13" s="25" t="s">
        <v>101</v>
      </c>
      <c r="E13" s="13" t="s">
        <v>87</v>
      </c>
      <c r="F13" s="25" t="s">
        <v>645</v>
      </c>
      <c r="G13" s="25" t="s">
        <v>73</v>
      </c>
      <c r="H13" s="25" t="s">
        <v>595</v>
      </c>
      <c r="I13" s="27" t="s">
        <v>965</v>
      </c>
    </row>
    <row r="14" spans="1:9" x14ac:dyDescent="0.2">
      <c r="A14" s="24">
        <v>10</v>
      </c>
      <c r="B14" s="25" t="s">
        <v>103</v>
      </c>
      <c r="C14" s="25"/>
      <c r="D14" s="25" t="s">
        <v>104</v>
      </c>
      <c r="E14" s="13" t="s">
        <v>87</v>
      </c>
      <c r="F14" s="25" t="s">
        <v>72</v>
      </c>
      <c r="G14" s="25" t="s">
        <v>73</v>
      </c>
      <c r="H14" s="25" t="s">
        <v>739</v>
      </c>
      <c r="I14" s="27" t="s">
        <v>964</v>
      </c>
    </row>
    <row r="15" spans="1:9" ht="22.8" x14ac:dyDescent="0.2">
      <c r="A15" s="24">
        <v>11</v>
      </c>
      <c r="B15" s="25" t="s">
        <v>106</v>
      </c>
      <c r="C15" s="25"/>
      <c r="D15" s="25" t="s">
        <v>107</v>
      </c>
      <c r="E15" s="13" t="s">
        <v>47</v>
      </c>
      <c r="F15" s="25" t="s">
        <v>102</v>
      </c>
      <c r="G15" s="25" t="s">
        <v>77</v>
      </c>
      <c r="H15" s="25" t="s">
        <v>329</v>
      </c>
      <c r="I15" s="27" t="s">
        <v>963</v>
      </c>
    </row>
    <row r="16" spans="1:9" x14ac:dyDescent="0.2">
      <c r="A16" s="24">
        <v>12</v>
      </c>
      <c r="B16" s="25" t="s">
        <v>109</v>
      </c>
      <c r="C16" s="25" t="s">
        <v>69</v>
      </c>
      <c r="D16" s="25" t="s">
        <v>110</v>
      </c>
      <c r="E16" s="13" t="s">
        <v>47</v>
      </c>
      <c r="F16" s="25" t="s">
        <v>102</v>
      </c>
      <c r="G16" s="25" t="s">
        <v>77</v>
      </c>
      <c r="H16" s="25" t="s">
        <v>329</v>
      </c>
      <c r="I16" s="27" t="s">
        <v>962</v>
      </c>
    </row>
    <row r="17" spans="1:9" ht="14.4" x14ac:dyDescent="0.3">
      <c r="A17" s="242" t="s">
        <v>111</v>
      </c>
      <c r="B17" s="243"/>
      <c r="C17" s="243"/>
      <c r="D17" s="243"/>
      <c r="E17" s="243"/>
      <c r="F17" s="243"/>
      <c r="G17" s="252"/>
      <c r="H17" s="252"/>
      <c r="I17" s="253"/>
    </row>
    <row r="18" spans="1:9" x14ac:dyDescent="0.3">
      <c r="A18" s="149" t="s">
        <v>59</v>
      </c>
      <c r="B18" s="149" t="s">
        <v>60</v>
      </c>
      <c r="C18" s="149" t="s">
        <v>61</v>
      </c>
      <c r="D18" s="149" t="s">
        <v>62</v>
      </c>
      <c r="E18" s="149" t="s">
        <v>63</v>
      </c>
      <c r="F18" s="149" t="s">
        <v>64</v>
      </c>
      <c r="G18" s="149" t="s">
        <v>65</v>
      </c>
      <c r="H18" s="149" t="s">
        <v>66</v>
      </c>
      <c r="I18" s="149"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71</v>
      </c>
      <c r="F21" s="25" t="s">
        <v>119</v>
      </c>
      <c r="G21" s="25" t="s">
        <v>77</v>
      </c>
      <c r="H21" s="25" t="s">
        <v>384</v>
      </c>
      <c r="I21" s="27"/>
    </row>
    <row r="22" spans="1:9" x14ac:dyDescent="0.2">
      <c r="A22" s="24">
        <v>4</v>
      </c>
      <c r="B22" s="25" t="s">
        <v>120</v>
      </c>
      <c r="C22" s="25" t="s">
        <v>113</v>
      </c>
      <c r="D22" s="25" t="s">
        <v>121</v>
      </c>
      <c r="E22" s="13" t="s">
        <v>71</v>
      </c>
      <c r="F22" s="25" t="s">
        <v>122</v>
      </c>
      <c r="G22" s="25" t="s">
        <v>77</v>
      </c>
      <c r="H22" s="25" t="s">
        <v>386</v>
      </c>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71</v>
      </c>
      <c r="F25" s="25" t="s">
        <v>144</v>
      </c>
      <c r="G25" s="25" t="s">
        <v>77</v>
      </c>
      <c r="H25" s="25" t="s">
        <v>145</v>
      </c>
      <c r="I25" s="27"/>
    </row>
    <row r="26" spans="1:9" x14ac:dyDescent="0.2">
      <c r="A26" s="24">
        <v>8</v>
      </c>
      <c r="B26" s="25" t="s">
        <v>130</v>
      </c>
      <c r="C26" s="25" t="s">
        <v>131</v>
      </c>
      <c r="D26" s="25" t="s">
        <v>132</v>
      </c>
      <c r="E26" s="13" t="s">
        <v>71</v>
      </c>
      <c r="F26" s="25" t="s">
        <v>637</v>
      </c>
      <c r="G26" s="25" t="s">
        <v>77</v>
      </c>
      <c r="H26" s="25" t="s">
        <v>595</v>
      </c>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47</v>
      </c>
      <c r="F29" s="25" t="s">
        <v>102</v>
      </c>
      <c r="G29" s="25" t="s">
        <v>77</v>
      </c>
      <c r="H29" s="25" t="s">
        <v>329</v>
      </c>
      <c r="I29" s="27" t="s">
        <v>962</v>
      </c>
    </row>
    <row r="30" spans="1:9" x14ac:dyDescent="0.2">
      <c r="A30" s="24">
        <v>12</v>
      </c>
      <c r="B30" s="25" t="s">
        <v>140</v>
      </c>
      <c r="C30" s="25" t="s">
        <v>128</v>
      </c>
      <c r="D30" s="25" t="s">
        <v>141</v>
      </c>
      <c r="E30" s="13" t="s">
        <v>47</v>
      </c>
      <c r="F30" s="25" t="s">
        <v>102</v>
      </c>
      <c r="G30" s="25" t="s">
        <v>77</v>
      </c>
      <c r="H30" s="25" t="s">
        <v>329</v>
      </c>
      <c r="I30" s="27" t="s">
        <v>962</v>
      </c>
    </row>
    <row r="31" spans="1:9" x14ac:dyDescent="0.2">
      <c r="A31" s="153">
        <v>13</v>
      </c>
      <c r="B31" s="154" t="s">
        <v>142</v>
      </c>
      <c r="C31" s="154" t="s">
        <v>90</v>
      </c>
      <c r="D31" s="154" t="s">
        <v>143</v>
      </c>
      <c r="E31" s="194" t="s">
        <v>87</v>
      </c>
      <c r="F31" s="154" t="s">
        <v>144</v>
      </c>
      <c r="G31" s="154" t="s">
        <v>77</v>
      </c>
      <c r="H31" s="154" t="s">
        <v>145</v>
      </c>
      <c r="I31" s="155"/>
    </row>
    <row r="32" spans="1:9" x14ac:dyDescent="0.2">
      <c r="A32" s="150">
        <v>14</v>
      </c>
      <c r="B32" s="151" t="s">
        <v>146</v>
      </c>
      <c r="C32" s="151" t="s">
        <v>69</v>
      </c>
      <c r="D32" s="151" t="s">
        <v>147</v>
      </c>
      <c r="E32" s="193" t="s">
        <v>87</v>
      </c>
      <c r="F32" s="151" t="s">
        <v>148</v>
      </c>
      <c r="G32" s="151" t="s">
        <v>77</v>
      </c>
      <c r="H32" s="151" t="s">
        <v>148</v>
      </c>
      <c r="I32" s="152"/>
    </row>
    <row r="33" spans="1:9" ht="14.4" x14ac:dyDescent="0.3">
      <c r="A33" s="242" t="s">
        <v>149</v>
      </c>
      <c r="B33" s="243"/>
      <c r="C33" s="243"/>
      <c r="D33" s="243"/>
      <c r="E33" s="243"/>
      <c r="F33" s="243"/>
      <c r="G33" s="252"/>
      <c r="H33" s="252"/>
      <c r="I33" s="253"/>
    </row>
    <row r="34" spans="1:9" x14ac:dyDescent="0.3">
      <c r="A34" s="149" t="s">
        <v>59</v>
      </c>
      <c r="B34" s="149" t="s">
        <v>60</v>
      </c>
      <c r="C34" s="149" t="s">
        <v>61</v>
      </c>
      <c r="D34" s="149" t="s">
        <v>62</v>
      </c>
      <c r="E34" s="149" t="s">
        <v>63</v>
      </c>
      <c r="F34" s="149" t="s">
        <v>64</v>
      </c>
      <c r="G34" s="149" t="s">
        <v>65</v>
      </c>
      <c r="H34" s="149" t="s">
        <v>66</v>
      </c>
      <c r="I34" s="149" t="s">
        <v>67</v>
      </c>
    </row>
    <row r="35" spans="1:9" x14ac:dyDescent="0.2">
      <c r="A35" s="24">
        <v>1</v>
      </c>
      <c r="B35" s="25" t="s">
        <v>50</v>
      </c>
      <c r="C35" s="25" t="s">
        <v>69</v>
      </c>
      <c r="D35" s="25" t="s">
        <v>150</v>
      </c>
      <c r="E35" s="13" t="s">
        <v>87</v>
      </c>
      <c r="F35" s="25" t="s">
        <v>151</v>
      </c>
      <c r="G35" s="25" t="s">
        <v>73</v>
      </c>
      <c r="H35" s="25" t="s">
        <v>749</v>
      </c>
      <c r="I35" s="27"/>
    </row>
    <row r="36" spans="1:9" x14ac:dyDescent="0.2">
      <c r="A36" s="24">
        <v>2</v>
      </c>
      <c r="B36" s="25" t="s">
        <v>51</v>
      </c>
      <c r="C36" s="25" t="s">
        <v>69</v>
      </c>
      <c r="D36" s="25" t="s">
        <v>152</v>
      </c>
      <c r="E36" s="13" t="s">
        <v>87</v>
      </c>
      <c r="F36" s="25" t="s">
        <v>153</v>
      </c>
      <c r="G36" s="25" t="s">
        <v>73</v>
      </c>
      <c r="H36" s="25" t="s">
        <v>752</v>
      </c>
      <c r="I36" s="27"/>
    </row>
    <row r="37" spans="1:9" x14ac:dyDescent="0.2">
      <c r="A37" s="24">
        <v>3</v>
      </c>
      <c r="B37" s="25" t="s">
        <v>52</v>
      </c>
      <c r="C37" s="25" t="s">
        <v>69</v>
      </c>
      <c r="D37" s="25" t="s">
        <v>154</v>
      </c>
      <c r="E37" s="13" t="s">
        <v>87</v>
      </c>
      <c r="F37" s="25" t="s">
        <v>155</v>
      </c>
      <c r="G37" s="25" t="s">
        <v>73</v>
      </c>
      <c r="H37" s="25" t="s">
        <v>825</v>
      </c>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87</v>
      </c>
      <c r="F41" s="25" t="s">
        <v>161</v>
      </c>
      <c r="G41" s="25" t="s">
        <v>73</v>
      </c>
      <c r="H41" s="25" t="s">
        <v>299</v>
      </c>
      <c r="I41" s="27"/>
    </row>
    <row r="42" spans="1:9" x14ac:dyDescent="0.2">
      <c r="A42" s="24">
        <v>8</v>
      </c>
      <c r="B42" s="25" t="s">
        <v>162</v>
      </c>
      <c r="C42" s="25" t="s">
        <v>90</v>
      </c>
      <c r="D42" s="25" t="s">
        <v>163</v>
      </c>
      <c r="E42" s="13" t="s">
        <v>87</v>
      </c>
      <c r="F42" s="25" t="s">
        <v>164</v>
      </c>
      <c r="G42" s="25" t="s">
        <v>73</v>
      </c>
      <c r="H42" s="25" t="s">
        <v>813</v>
      </c>
      <c r="I42" s="27"/>
    </row>
    <row r="43" spans="1:9" x14ac:dyDescent="0.2">
      <c r="A43" s="24">
        <v>9</v>
      </c>
      <c r="B43" s="25" t="s">
        <v>165</v>
      </c>
      <c r="C43" s="25" t="s">
        <v>90</v>
      </c>
      <c r="D43" s="25" t="s">
        <v>166</v>
      </c>
      <c r="E43" s="13" t="s">
        <v>87</v>
      </c>
      <c r="F43" s="25" t="s">
        <v>167</v>
      </c>
      <c r="G43" s="25" t="s">
        <v>73</v>
      </c>
      <c r="H43" s="25" t="s">
        <v>690</v>
      </c>
      <c r="I43" s="27"/>
    </row>
    <row r="44" spans="1:9" x14ac:dyDescent="0.2">
      <c r="A44" s="24">
        <v>10</v>
      </c>
      <c r="B44" s="25" t="s">
        <v>168</v>
      </c>
      <c r="C44" s="25" t="s">
        <v>69</v>
      </c>
      <c r="D44" s="25" t="s">
        <v>169</v>
      </c>
      <c r="E44" s="13" t="s">
        <v>87</v>
      </c>
      <c r="F44" s="25" t="s">
        <v>697</v>
      </c>
      <c r="G44" s="25" t="s">
        <v>73</v>
      </c>
      <c r="H44" s="25" t="s">
        <v>360</v>
      </c>
      <c r="I44" s="27"/>
    </row>
    <row r="45" spans="1:9" ht="14.4" x14ac:dyDescent="0.3">
      <c r="A45" s="242" t="s">
        <v>170</v>
      </c>
      <c r="B45" s="243"/>
      <c r="C45" s="243"/>
      <c r="D45" s="243"/>
      <c r="E45" s="243"/>
      <c r="F45" s="243"/>
      <c r="G45" s="252"/>
      <c r="H45" s="252"/>
      <c r="I45" s="253"/>
    </row>
    <row r="46" spans="1:9" x14ac:dyDescent="0.3">
      <c r="A46" s="149" t="s">
        <v>59</v>
      </c>
      <c r="B46" s="149" t="s">
        <v>60</v>
      </c>
      <c r="C46" s="149" t="s">
        <v>61</v>
      </c>
      <c r="D46" s="149" t="s">
        <v>62</v>
      </c>
      <c r="E46" s="149" t="s">
        <v>63</v>
      </c>
      <c r="F46" s="149" t="s">
        <v>64</v>
      </c>
      <c r="G46" s="149" t="s">
        <v>65</v>
      </c>
      <c r="H46" s="149" t="s">
        <v>66</v>
      </c>
      <c r="I46" s="149" t="s">
        <v>67</v>
      </c>
    </row>
    <row r="47" spans="1:9" x14ac:dyDescent="0.2">
      <c r="A47" s="24">
        <v>1</v>
      </c>
      <c r="B47" s="25" t="s">
        <v>171</v>
      </c>
      <c r="C47" s="25"/>
      <c r="D47" s="25" t="s">
        <v>172</v>
      </c>
      <c r="E47" s="13" t="s">
        <v>47</v>
      </c>
      <c r="F47" s="25" t="s">
        <v>763</v>
      </c>
      <c r="G47" s="25" t="s">
        <v>355</v>
      </c>
      <c r="H47" s="25"/>
      <c r="I47" s="27" t="s">
        <v>966</v>
      </c>
    </row>
    <row r="48" spans="1:9" x14ac:dyDescent="0.2">
      <c r="A48" s="24">
        <v>2</v>
      </c>
      <c r="B48" s="25" t="s">
        <v>171</v>
      </c>
      <c r="C48" s="25"/>
      <c r="D48" s="25" t="s">
        <v>172</v>
      </c>
      <c r="E48" s="13" t="s">
        <v>47</v>
      </c>
      <c r="F48" s="25" t="s">
        <v>763</v>
      </c>
      <c r="G48" s="25" t="s">
        <v>355</v>
      </c>
      <c r="H48" s="25"/>
      <c r="I48" s="27" t="s">
        <v>966</v>
      </c>
    </row>
  </sheetData>
  <customSheetViews>
    <customSheetView guid="{C845FD7F-3CB2-4CBC-892C-E2474769F660}" fitToPage="1" topLeftCell="A23">
      <selection activeCell="B55" sqref="B55"/>
      <pageMargins left="0" right="0" top="0" bottom="0" header="0" footer="0"/>
      <pageSetup paperSize="9" orientation="landscape" horizontalDpi="1200" verticalDpi="1200" r:id="rId1"/>
    </customSheetView>
    <customSheetView guid="{25BFA7C9-9C08-4E2D-B44F-21E683ECAB75}" fitToPage="1" hiddenRows="1">
      <selection activeCell="C24" sqref="C24:C25"/>
      <pageMargins left="0" right="0" top="0" bottom="0" header="0" footer="0"/>
      <pageSetup paperSize="9" orientation="landscape" horizontalDpi="1200" verticalDpi="1200" r:id="rId2"/>
    </customSheetView>
    <customSheetView guid="{7ADF16FD-9B7D-42F1-AFE6-6E8D21F9D09B}" fitToPage="1" hiddenRows="1">
      <selection activeCell="D20" sqref="D20"/>
      <pageMargins left="0" right="0" top="0" bottom="0" header="0" footer="0"/>
      <pageSetup paperSize="9" orientation="landscape" horizontalDpi="1200" verticalDpi="1200" r:id="rId3"/>
    </customSheetView>
    <customSheetView guid="{31D107EB-A48D-4232-90AA-7BB972732D83}" showPageBreaks="1" fitToPage="1" hiddenRows="1" topLeftCell="A19">
      <selection activeCell="J43" sqref="J43"/>
      <pageMargins left="0" right="0" top="0" bottom="0" header="0" footer="0"/>
      <pageSetup paperSize="9" scale="97" orientation="landscape" horizontalDpi="1200" verticalDpi="1200" r:id="rId4"/>
    </customSheetView>
    <customSheetView guid="{EE8DE643-7531-4BA6-A2AE-CA7A0FACFBB5}" fitToPage="1" hiddenRows="1">
      <selection activeCell="K5" sqref="K5"/>
      <pageMargins left="0" right="0" top="0" bottom="0" header="0" footer="0"/>
      <pageSetup scale="96" orientation="landscape" horizontalDpi="1200" verticalDpi="1200" r:id="rId5"/>
    </customSheetView>
    <customSheetView guid="{5E8C3AE4-233F-4E25-872C-6621CB9B96CA}" fitToPage="1" hiddenRows="1">
      <selection activeCell="N28" sqref="N28"/>
      <pageMargins left="0" right="0" top="0" bottom="0" header="0" footer="0"/>
      <pageSetup paperSize="9" orientation="landscape" horizontalDpi="1200" verticalDpi="1200" r:id="rId6"/>
    </customSheetView>
    <customSheetView guid="{E5A90478-501D-42C6-86FE-EBC9FB0438FD}" fitToPage="1" hiddenRows="1">
      <selection activeCell="I26" sqref="I26"/>
      <pageMargins left="0" right="0" top="0" bottom="0" header="0" footer="0"/>
      <pageSetup paperSize="9" orientation="landscape" horizontalDpi="1200" verticalDpi="1200" r:id="rId7"/>
    </customSheetView>
  </customSheetViews>
  <mergeCells count="4">
    <mergeCell ref="A3:I3"/>
    <mergeCell ref="A17:I17"/>
    <mergeCell ref="A33:I33"/>
    <mergeCell ref="A45:I45"/>
  </mergeCells>
  <conditionalFormatting sqref="F5:I16 F19:I30 F35:I44 F47:I48">
    <cfRule type="expression" dxfId="4" priority="18">
      <formula>$E5="No Connection"</formula>
    </cfRule>
  </conditionalFormatting>
  <dataValidations count="6">
    <dataValidation type="list" allowBlank="1" showInputMessage="1" showErrorMessage="1" sqref="G42" xr:uid="{00000000-0002-0000-0200-000003000000}">
      <formula1>function_descriptions</formula1>
    </dataValidation>
    <dataValidation type="list" allowBlank="1" showInputMessage="1" showErrorMessage="1" sqref="E5:E16 E19:E30 E35:E44 E47:E48" xr:uid="{2A4A3EEF-EDA5-4A6B-9E2D-C3373BD84649}">
      <formula1>INDIRECT("ConnectionTable[Connection]")</formula1>
    </dataValidation>
    <dataValidation type="list" allowBlank="1" showInputMessage="1" showErrorMessage="1" sqref="G5:G16 G19:G30 G35:G44 G47:G48" xr:uid="{85F403F5-B905-4D08-988B-D205F3504C25}">
      <formula1>INDIRECT("ConnectTo[Connect To]")</formula1>
    </dataValidation>
    <dataValidation type="list" allowBlank="1" showInputMessage="1" showErrorMessage="1" sqref="F5:F16 F19:F30 F35:F44 F47:F48" xr:uid="{1882ED34-3B59-4A18-8433-279D9035FFBE}">
      <formula1>INDIRECT("Function[Function]")</formula1>
    </dataValidation>
    <dataValidation type="list" allowBlank="1" showInputMessage="1" showErrorMessage="1" sqref="H5:H16 H19:H30 H35:H44 H47:H48" xr:uid="{A57537A1-9B5B-4499-B5DD-643C8E25A99C}">
      <formula1>INDIRECT("Tag[Tag]")</formula1>
    </dataValidation>
    <dataValidation type="list" allowBlank="1" showInputMessage="1" showErrorMessage="1" sqref="C5:C16 C19:C30 C35:C44 C47:C48" xr:uid="{65A75D01-751A-4951-A9A8-7C3C2C41D081}">
      <formula1>INDIRECT("PolarityT[Polarity]")</formula1>
    </dataValidation>
  </dataValidations>
  <pageMargins left="0.19685039370078741" right="0.19685039370078741" top="0.19685039370078741" bottom="0.19685039370078741" header="0.31496062992125984" footer="0.31496062992125984"/>
  <pageSetup paperSize="9" scale="98" orientation="landscape"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8"/>
  <sheetViews>
    <sheetView zoomScaleNormal="100" workbookViewId="0">
      <selection activeCell="E5" sqref="E5"/>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173</v>
      </c>
    </row>
    <row r="2" spans="1:9" s="20" customFormat="1" ht="14.4" x14ac:dyDescent="0.3"/>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4">
      <selection activeCell="A49" sqref="A49:XFD77"/>
      <pageMargins left="0" right="0" top="0" bottom="0" header="0" footer="0"/>
      <pageSetup scale="96" orientation="landscape" horizontalDpi="1200" verticalDpi="1200" r:id="rId1"/>
    </customSheetView>
    <customSheetView guid="{25BFA7C9-9C08-4E2D-B44F-21E683ECAB75}" fitToPage="1" hiddenRows="1" topLeftCell="A4">
      <selection activeCell="B21" sqref="B21:C22"/>
      <pageMargins left="0" right="0" top="0" bottom="0" header="0" footer="0"/>
      <pageSetup scale="96" orientation="landscape" horizontalDpi="1200" verticalDpi="1200" r:id="rId2"/>
    </customSheetView>
    <customSheetView guid="{EE8DE643-7531-4BA6-A2AE-CA7A0FACFBB5}" fitToPage="1" hiddenRows="1" topLeftCell="A4">
      <selection activeCell="D31" sqref="D31:E32"/>
      <pageMargins left="0" right="0" top="0" bottom="0" header="0" footer="0"/>
      <pageSetup scale="96" orientation="landscape" horizontalDpi="1200" verticalDpi="1200" r:id="rId3"/>
    </customSheetView>
    <customSheetView guid="{5E8C3AE4-233F-4E25-872C-6621CB9B96CA}" fitToPage="1" hiddenRows="1">
      <selection activeCell="J26" sqref="J26"/>
      <pageMargins left="0" right="0" top="0" bottom="0" header="0" footer="0"/>
      <pageSetup scale="96" orientation="landscape" horizontalDpi="1200" verticalDpi="1200" r:id="rId4"/>
    </customSheetView>
    <customSheetView guid="{E5A90478-501D-42C6-86FE-EBC9FB0438FD}" fitToPage="1" hiddenRows="1">
      <selection activeCell="C41" sqref="C41"/>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3" priority="1">
      <formula>$E5="No Connection"</formula>
    </cfRule>
  </conditionalFormatting>
  <dataValidations count="5">
    <dataValidation type="list" allowBlank="1" showInputMessage="1" showErrorMessage="1" sqref="C5:C16 C19:C30 C35:C44 C47:C48" xr:uid="{3C640ABD-338C-49D8-9DE8-D92FE3956474}">
      <formula1>INDIRECT("PolarityT[Polarity]")</formula1>
    </dataValidation>
    <dataValidation type="list" allowBlank="1" showInputMessage="1" showErrorMessage="1" sqref="E5:E16 E19:E30 E35:E44 E47:E48" xr:uid="{77EE066A-82A8-4F1D-95B0-9C9D45070C60}">
      <formula1>INDIRECT("ConnectionTable[Connection]")</formula1>
    </dataValidation>
    <dataValidation type="list" allowBlank="1" showInputMessage="1" showErrorMessage="1" sqref="F47:F48 F19:F30 F35:F44 F5:F16" xr:uid="{59783193-BF4C-4886-B313-DDA66E477B9F}">
      <formula1>INDIRECT("Function[Function]")</formula1>
    </dataValidation>
    <dataValidation type="list" allowBlank="1" showInputMessage="1" showErrorMessage="1" sqref="G5:G16 G19:G30 G35:G44 G47:G48" xr:uid="{11B3F63D-0ED3-4771-BC36-7E2A7EBCF444}">
      <formula1>INDIRECT("ConnectTo[Connect To]")</formula1>
    </dataValidation>
    <dataValidation type="list" allowBlank="1" showInputMessage="1" showErrorMessage="1" sqref="H5:H16 H19:H30 H35:H44 H47:H48" xr:uid="{960EB1A7-F6F7-4F73-93D7-62FA43B71797}">
      <formula1>INDIRECT("Tag[Tag]")</formula1>
    </dataValidation>
  </dataValidations>
  <pageMargins left="0.5" right="0.5" top="0.5" bottom="0.5" header="0.31496062992125984" footer="0.31496062992125984"/>
  <pageSetup scale="96" orientation="landscape" horizontalDpi="1200" verticalDpi="12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8"/>
  <sheetViews>
    <sheetView zoomScaleNormal="100" workbookViewId="0">
      <selection activeCell="A3" sqref="A3:I3"/>
    </sheetView>
  </sheetViews>
  <sheetFormatPr defaultColWidth="9.109375" defaultRowHeight="11.4" x14ac:dyDescent="0.3"/>
  <cols>
    <col min="1" max="1" width="3.6640625" style="23" customWidth="1"/>
    <col min="2" max="2" width="16.6640625" style="26" bestFit="1" customWidth="1"/>
    <col min="3" max="3" width="9.109375" style="26" bestFit="1" customWidth="1"/>
    <col min="4" max="4" width="23.6640625" style="26" bestFit="1" customWidth="1"/>
    <col min="5" max="5" width="11.6640625" style="26" bestFit="1" customWidth="1"/>
    <col min="6" max="9" width="34.6640625" style="23" customWidth="1"/>
    <col min="10" max="16384" width="9.109375" style="23"/>
  </cols>
  <sheetData>
    <row r="1" spans="1:9" s="19" customFormat="1" ht="15.6" x14ac:dyDescent="0.3">
      <c r="A1" s="18" t="s">
        <v>175</v>
      </c>
    </row>
    <row r="2" spans="1:9" s="20" customFormat="1" ht="14.4" x14ac:dyDescent="0.3">
      <c r="A2" s="6"/>
    </row>
    <row r="3" spans="1:9" ht="14.55" customHeight="1" x14ac:dyDescent="0.3">
      <c r="A3" s="242" t="s">
        <v>58</v>
      </c>
      <c r="B3" s="243"/>
      <c r="C3" s="243"/>
      <c r="D3" s="243"/>
      <c r="E3" s="243"/>
      <c r="F3" s="243"/>
      <c r="G3" s="243"/>
      <c r="H3" s="243"/>
      <c r="I3" s="253"/>
    </row>
    <row r="4" spans="1:9" x14ac:dyDescent="0.3">
      <c r="A4" s="17" t="s">
        <v>59</v>
      </c>
      <c r="B4" s="17" t="s">
        <v>60</v>
      </c>
      <c r="C4" s="149" t="s">
        <v>61</v>
      </c>
      <c r="D4" s="17" t="s">
        <v>62</v>
      </c>
      <c r="E4" s="17" t="s">
        <v>63</v>
      </c>
      <c r="F4" s="17" t="s">
        <v>64</v>
      </c>
      <c r="G4" s="17" t="s">
        <v>65</v>
      </c>
      <c r="H4" s="17" t="s">
        <v>66</v>
      </c>
      <c r="I4" s="17" t="s">
        <v>67</v>
      </c>
    </row>
    <row r="5" spans="1:9" x14ac:dyDescent="0.2">
      <c r="A5" s="24">
        <v>1</v>
      </c>
      <c r="B5" s="25" t="s">
        <v>68</v>
      </c>
      <c r="C5" s="25" t="s">
        <v>69</v>
      </c>
      <c r="D5" s="25" t="s">
        <v>174</v>
      </c>
      <c r="E5" s="13" t="s">
        <v>99</v>
      </c>
      <c r="F5" s="25"/>
      <c r="G5" s="25"/>
      <c r="H5" s="25"/>
      <c r="I5" s="27"/>
    </row>
    <row r="6" spans="1:9" x14ac:dyDescent="0.2">
      <c r="A6" s="24">
        <v>2</v>
      </c>
      <c r="B6" s="25" t="s">
        <v>74</v>
      </c>
      <c r="C6" s="25" t="s">
        <v>69</v>
      </c>
      <c r="D6" s="25" t="s">
        <v>75</v>
      </c>
      <c r="E6" s="13" t="s">
        <v>99</v>
      </c>
      <c r="F6" s="25"/>
      <c r="G6" s="25"/>
      <c r="H6" s="25"/>
      <c r="I6" s="27"/>
    </row>
    <row r="7" spans="1:9" x14ac:dyDescent="0.2">
      <c r="A7" s="24">
        <v>3</v>
      </c>
      <c r="B7" s="25" t="s">
        <v>78</v>
      </c>
      <c r="C7" s="25" t="s">
        <v>69</v>
      </c>
      <c r="D7" s="25" t="s">
        <v>79</v>
      </c>
      <c r="E7" s="13" t="s">
        <v>99</v>
      </c>
      <c r="F7" s="25"/>
      <c r="G7" s="25"/>
      <c r="H7" s="25"/>
      <c r="I7" s="27"/>
    </row>
    <row r="8" spans="1:9" x14ac:dyDescent="0.2">
      <c r="A8" s="24">
        <v>4</v>
      </c>
      <c r="B8" s="25" t="s">
        <v>81</v>
      </c>
      <c r="C8" s="25" t="s">
        <v>69</v>
      </c>
      <c r="D8" s="25" t="s">
        <v>82</v>
      </c>
      <c r="E8" s="13" t="s">
        <v>99</v>
      </c>
      <c r="F8" s="25"/>
      <c r="G8" s="25"/>
      <c r="H8" s="25"/>
      <c r="I8" s="27"/>
    </row>
    <row r="9" spans="1:9" x14ac:dyDescent="0.2">
      <c r="A9" s="24">
        <v>5</v>
      </c>
      <c r="B9" s="25" t="s">
        <v>84</v>
      </c>
      <c r="C9" s="25" t="s">
        <v>85</v>
      </c>
      <c r="D9" s="25" t="s">
        <v>86</v>
      </c>
      <c r="E9" s="13" t="s">
        <v>99</v>
      </c>
      <c r="F9" s="25"/>
      <c r="G9" s="25"/>
      <c r="H9" s="25"/>
      <c r="I9" s="27"/>
    </row>
    <row r="10" spans="1:9" x14ac:dyDescent="0.2">
      <c r="A10" s="24">
        <v>6</v>
      </c>
      <c r="B10" s="25" t="s">
        <v>89</v>
      </c>
      <c r="C10" s="25" t="s">
        <v>90</v>
      </c>
      <c r="D10" s="25" t="s">
        <v>91</v>
      </c>
      <c r="E10" s="13" t="s">
        <v>99</v>
      </c>
      <c r="F10" s="25"/>
      <c r="G10" s="25"/>
      <c r="H10" s="25"/>
      <c r="I10" s="27"/>
    </row>
    <row r="11" spans="1:9" x14ac:dyDescent="0.2">
      <c r="A11" s="24">
        <v>7</v>
      </c>
      <c r="B11" s="25" t="s">
        <v>93</v>
      </c>
      <c r="C11" s="25" t="s">
        <v>90</v>
      </c>
      <c r="D11" s="25" t="s">
        <v>94</v>
      </c>
      <c r="E11" s="13" t="s">
        <v>99</v>
      </c>
      <c r="F11" s="25"/>
      <c r="G11" s="25"/>
      <c r="H11" s="25"/>
      <c r="I11" s="27"/>
    </row>
    <row r="12" spans="1:9" x14ac:dyDescent="0.2">
      <c r="A12" s="24">
        <v>8</v>
      </c>
      <c r="B12" s="25" t="s">
        <v>96</v>
      </c>
      <c r="C12" s="25" t="s">
        <v>97</v>
      </c>
      <c r="D12" s="25" t="s">
        <v>98</v>
      </c>
      <c r="E12" s="13" t="s">
        <v>99</v>
      </c>
      <c r="F12" s="25"/>
      <c r="G12" s="25"/>
      <c r="H12" s="25"/>
      <c r="I12" s="27"/>
    </row>
    <row r="13" spans="1:9" x14ac:dyDescent="0.2">
      <c r="A13" s="24">
        <v>9</v>
      </c>
      <c r="B13" s="25" t="s">
        <v>100</v>
      </c>
      <c r="C13" s="25" t="s">
        <v>97</v>
      </c>
      <c r="D13" s="25" t="s">
        <v>101</v>
      </c>
      <c r="E13" s="13" t="s">
        <v>99</v>
      </c>
      <c r="F13" s="25"/>
      <c r="G13" s="25"/>
      <c r="H13" s="25"/>
      <c r="I13" s="27"/>
    </row>
    <row r="14" spans="1:9" x14ac:dyDescent="0.2">
      <c r="A14" s="24">
        <v>10</v>
      </c>
      <c r="B14" s="25" t="s">
        <v>103</v>
      </c>
      <c r="C14" s="25"/>
      <c r="D14" s="25" t="s">
        <v>104</v>
      </c>
      <c r="E14" s="13" t="s">
        <v>99</v>
      </c>
      <c r="F14" s="25"/>
      <c r="G14" s="25"/>
      <c r="H14" s="25"/>
      <c r="I14" s="27"/>
    </row>
    <row r="15" spans="1:9" x14ac:dyDescent="0.2">
      <c r="A15" s="24">
        <v>11</v>
      </c>
      <c r="B15" s="25" t="s">
        <v>106</v>
      </c>
      <c r="C15" s="25"/>
      <c r="D15" s="25" t="s">
        <v>107</v>
      </c>
      <c r="E15" s="13" t="s">
        <v>99</v>
      </c>
      <c r="F15" s="25"/>
      <c r="G15" s="25"/>
      <c r="H15" s="25"/>
      <c r="I15" s="27"/>
    </row>
    <row r="16" spans="1:9" x14ac:dyDescent="0.2">
      <c r="A16" s="24">
        <v>12</v>
      </c>
      <c r="B16" s="25" t="s">
        <v>109</v>
      </c>
      <c r="C16" s="25" t="s">
        <v>69</v>
      </c>
      <c r="D16" s="25" t="s">
        <v>110</v>
      </c>
      <c r="E16" s="13" t="s">
        <v>99</v>
      </c>
      <c r="F16" s="25"/>
      <c r="G16" s="25"/>
      <c r="H16" s="25"/>
      <c r="I16" s="27"/>
    </row>
    <row r="17" spans="1:9" ht="14.55" customHeight="1" x14ac:dyDescent="0.3">
      <c r="A17" s="254" t="s">
        <v>111</v>
      </c>
      <c r="B17" s="255"/>
      <c r="C17" s="255"/>
      <c r="D17" s="255"/>
      <c r="E17" s="255"/>
      <c r="F17" s="255"/>
      <c r="G17" s="255"/>
      <c r="H17" s="255"/>
      <c r="I17" s="253"/>
    </row>
    <row r="18" spans="1:9" x14ac:dyDescent="0.3">
      <c r="A18" s="17" t="s">
        <v>59</v>
      </c>
      <c r="B18" s="17" t="s">
        <v>60</v>
      </c>
      <c r="C18" s="149" t="s">
        <v>61</v>
      </c>
      <c r="D18" s="17" t="s">
        <v>62</v>
      </c>
      <c r="E18" s="17" t="s">
        <v>63</v>
      </c>
      <c r="F18" s="17" t="s">
        <v>64</v>
      </c>
      <c r="G18" s="17" t="s">
        <v>65</v>
      </c>
      <c r="H18" s="17" t="s">
        <v>66</v>
      </c>
      <c r="I18" s="17" t="s">
        <v>67</v>
      </c>
    </row>
    <row r="19" spans="1:9" x14ac:dyDescent="0.2">
      <c r="A19" s="24">
        <v>1</v>
      </c>
      <c r="B19" s="25" t="s">
        <v>112</v>
      </c>
      <c r="C19" s="25" t="s">
        <v>113</v>
      </c>
      <c r="D19" s="25" t="s">
        <v>114</v>
      </c>
      <c r="E19" s="13" t="s">
        <v>99</v>
      </c>
      <c r="F19" s="25"/>
      <c r="G19" s="25"/>
      <c r="H19" s="25"/>
      <c r="I19" s="27"/>
    </row>
    <row r="20" spans="1:9" x14ac:dyDescent="0.2">
      <c r="A20" s="24">
        <v>2</v>
      </c>
      <c r="B20" s="25" t="s">
        <v>115</v>
      </c>
      <c r="C20" s="25" t="s">
        <v>113</v>
      </c>
      <c r="D20" s="25" t="s">
        <v>116</v>
      </c>
      <c r="E20" s="13" t="s">
        <v>99</v>
      </c>
      <c r="F20" s="25"/>
      <c r="G20" s="25"/>
      <c r="H20" s="25"/>
      <c r="I20" s="27"/>
    </row>
    <row r="21" spans="1:9" x14ac:dyDescent="0.2">
      <c r="A21" s="24">
        <v>3</v>
      </c>
      <c r="B21" s="25" t="s">
        <v>117</v>
      </c>
      <c r="C21" s="25" t="s">
        <v>113</v>
      </c>
      <c r="D21" s="25" t="s">
        <v>118</v>
      </c>
      <c r="E21" s="13" t="s">
        <v>99</v>
      </c>
      <c r="F21" s="25"/>
      <c r="G21" s="25"/>
      <c r="H21" s="25"/>
      <c r="I21" s="27"/>
    </row>
    <row r="22" spans="1:9" x14ac:dyDescent="0.2">
      <c r="A22" s="24">
        <v>4</v>
      </c>
      <c r="B22" s="25" t="s">
        <v>120</v>
      </c>
      <c r="C22" s="25" t="s">
        <v>113</v>
      </c>
      <c r="D22" s="25" t="s">
        <v>121</v>
      </c>
      <c r="E22" s="13" t="s">
        <v>99</v>
      </c>
      <c r="F22" s="25"/>
      <c r="G22" s="25"/>
      <c r="H22" s="25"/>
      <c r="I22" s="27"/>
    </row>
    <row r="23" spans="1:9" x14ac:dyDescent="0.2">
      <c r="A23" s="24">
        <v>5</v>
      </c>
      <c r="B23" s="25" t="s">
        <v>123</v>
      </c>
      <c r="C23" s="25" t="s">
        <v>113</v>
      </c>
      <c r="D23" s="25" t="s">
        <v>124</v>
      </c>
      <c r="E23" s="13" t="s">
        <v>99</v>
      </c>
      <c r="F23" s="25"/>
      <c r="G23" s="25"/>
      <c r="H23" s="25"/>
      <c r="I23" s="27"/>
    </row>
    <row r="24" spans="1:9" x14ac:dyDescent="0.2">
      <c r="A24" s="24">
        <v>6</v>
      </c>
      <c r="B24" s="25" t="s">
        <v>125</v>
      </c>
      <c r="C24" s="25" t="s">
        <v>113</v>
      </c>
      <c r="D24" s="25" t="s">
        <v>126</v>
      </c>
      <c r="E24" s="13" t="s">
        <v>99</v>
      </c>
      <c r="F24" s="25"/>
      <c r="G24" s="25"/>
      <c r="H24" s="25"/>
      <c r="I24" s="27"/>
    </row>
    <row r="25" spans="1:9" x14ac:dyDescent="0.2">
      <c r="A25" s="24">
        <v>7</v>
      </c>
      <c r="B25" s="25" t="s">
        <v>127</v>
      </c>
      <c r="C25" s="25" t="s">
        <v>128</v>
      </c>
      <c r="D25" s="25" t="s">
        <v>129</v>
      </c>
      <c r="E25" s="13" t="s">
        <v>99</v>
      </c>
      <c r="F25" s="25"/>
      <c r="G25" s="25"/>
      <c r="H25" s="25"/>
      <c r="I25" s="27"/>
    </row>
    <row r="26" spans="1:9" x14ac:dyDescent="0.2">
      <c r="A26" s="24">
        <v>8</v>
      </c>
      <c r="B26" s="25" t="s">
        <v>130</v>
      </c>
      <c r="C26" s="25" t="s">
        <v>131</v>
      </c>
      <c r="D26" s="25" t="s">
        <v>132</v>
      </c>
      <c r="E26" s="13" t="s">
        <v>99</v>
      </c>
      <c r="F26" s="25"/>
      <c r="G26" s="25"/>
      <c r="H26" s="25"/>
      <c r="I26" s="27"/>
    </row>
    <row r="27" spans="1:9" x14ac:dyDescent="0.2">
      <c r="A27" s="24">
        <v>9</v>
      </c>
      <c r="B27" s="25" t="s">
        <v>133</v>
      </c>
      <c r="C27" s="25" t="s">
        <v>134</v>
      </c>
      <c r="D27" s="25" t="s">
        <v>135</v>
      </c>
      <c r="E27" s="13" t="s">
        <v>99</v>
      </c>
      <c r="F27" s="25"/>
      <c r="G27" s="25"/>
      <c r="H27" s="25"/>
      <c r="I27" s="27"/>
    </row>
    <row r="28" spans="1:9" x14ac:dyDescent="0.2">
      <c r="A28" s="24">
        <v>10</v>
      </c>
      <c r="B28" s="25" t="s">
        <v>136</v>
      </c>
      <c r="C28" s="25" t="s">
        <v>134</v>
      </c>
      <c r="D28" s="25" t="s">
        <v>137</v>
      </c>
      <c r="E28" s="13" t="s">
        <v>99</v>
      </c>
      <c r="F28" s="25"/>
      <c r="G28" s="25"/>
      <c r="H28" s="25"/>
      <c r="I28" s="27"/>
    </row>
    <row r="29" spans="1:9" x14ac:dyDescent="0.2">
      <c r="A29" s="24">
        <v>11</v>
      </c>
      <c r="B29" s="25" t="s">
        <v>138</v>
      </c>
      <c r="C29" s="25" t="s">
        <v>131</v>
      </c>
      <c r="D29" s="25" t="s">
        <v>139</v>
      </c>
      <c r="E29" s="13" t="s">
        <v>99</v>
      </c>
      <c r="F29" s="25"/>
      <c r="G29" s="25"/>
      <c r="H29" s="25"/>
      <c r="I29" s="27"/>
    </row>
    <row r="30" spans="1:9" x14ac:dyDescent="0.2">
      <c r="A30" s="24">
        <v>12</v>
      </c>
      <c r="B30" s="25" t="s">
        <v>140</v>
      </c>
      <c r="C30" s="25" t="s">
        <v>128</v>
      </c>
      <c r="D30" s="25" t="s">
        <v>141</v>
      </c>
      <c r="E30" s="13" t="s">
        <v>99</v>
      </c>
      <c r="F30" s="25"/>
      <c r="G30" s="25"/>
      <c r="H30" s="25"/>
      <c r="I30" s="27"/>
    </row>
    <row r="31" spans="1:9" x14ac:dyDescent="0.2">
      <c r="A31" s="153">
        <v>13</v>
      </c>
      <c r="B31" s="154" t="s">
        <v>142</v>
      </c>
      <c r="C31" s="154" t="s">
        <v>90</v>
      </c>
      <c r="D31" s="154" t="s">
        <v>143</v>
      </c>
      <c r="E31" s="194" t="s">
        <v>71</v>
      </c>
      <c r="F31" s="154" t="s">
        <v>144</v>
      </c>
      <c r="G31" s="154" t="s">
        <v>77</v>
      </c>
      <c r="H31" s="154" t="s">
        <v>145</v>
      </c>
      <c r="I31" s="155"/>
    </row>
    <row r="32" spans="1:9" x14ac:dyDescent="0.2">
      <c r="A32" s="150">
        <v>14</v>
      </c>
      <c r="B32" s="151" t="s">
        <v>146</v>
      </c>
      <c r="C32" s="151" t="s">
        <v>69</v>
      </c>
      <c r="D32" s="151" t="s">
        <v>147</v>
      </c>
      <c r="E32" s="193" t="s">
        <v>71</v>
      </c>
      <c r="F32" s="151" t="s">
        <v>148</v>
      </c>
      <c r="G32" s="151" t="s">
        <v>77</v>
      </c>
      <c r="H32" s="151" t="s">
        <v>148</v>
      </c>
      <c r="I32" s="152"/>
    </row>
    <row r="33" spans="1:9" ht="14.55" customHeight="1" x14ac:dyDescent="0.3">
      <c r="A33" s="242" t="s">
        <v>149</v>
      </c>
      <c r="B33" s="243"/>
      <c r="C33" s="243"/>
      <c r="D33" s="243"/>
      <c r="E33" s="243"/>
      <c r="F33" s="243"/>
      <c r="G33" s="243"/>
      <c r="H33" s="243"/>
      <c r="I33" s="253"/>
    </row>
    <row r="34" spans="1:9" x14ac:dyDescent="0.3">
      <c r="A34" s="17" t="s">
        <v>59</v>
      </c>
      <c r="B34" s="17" t="s">
        <v>60</v>
      </c>
      <c r="C34" s="149" t="s">
        <v>61</v>
      </c>
      <c r="D34" s="17" t="s">
        <v>62</v>
      </c>
      <c r="E34" s="17" t="s">
        <v>63</v>
      </c>
      <c r="F34" s="17" t="s">
        <v>64</v>
      </c>
      <c r="G34" s="17" t="s">
        <v>65</v>
      </c>
      <c r="H34" s="17" t="s">
        <v>66</v>
      </c>
      <c r="I34" s="17" t="s">
        <v>67</v>
      </c>
    </row>
    <row r="35" spans="1:9" x14ac:dyDescent="0.2">
      <c r="A35" s="24">
        <v>1</v>
      </c>
      <c r="B35" s="25" t="s">
        <v>50</v>
      </c>
      <c r="C35" s="25" t="s">
        <v>69</v>
      </c>
      <c r="D35" s="25" t="s">
        <v>150</v>
      </c>
      <c r="E35" s="13" t="s">
        <v>99</v>
      </c>
      <c r="F35" s="25"/>
      <c r="G35" s="25"/>
      <c r="H35" s="25"/>
      <c r="I35" s="27"/>
    </row>
    <row r="36" spans="1:9" x14ac:dyDescent="0.2">
      <c r="A36" s="24">
        <v>2</v>
      </c>
      <c r="B36" s="25" t="s">
        <v>51</v>
      </c>
      <c r="C36" s="25" t="s">
        <v>69</v>
      </c>
      <c r="D36" s="25" t="s">
        <v>152</v>
      </c>
      <c r="E36" s="13" t="s">
        <v>99</v>
      </c>
      <c r="F36" s="25"/>
      <c r="G36" s="25"/>
      <c r="H36" s="25"/>
      <c r="I36" s="27"/>
    </row>
    <row r="37" spans="1:9" x14ac:dyDescent="0.2">
      <c r="A37" s="24">
        <v>3</v>
      </c>
      <c r="B37" s="25" t="s">
        <v>52</v>
      </c>
      <c r="C37" s="25" t="s">
        <v>69</v>
      </c>
      <c r="D37" s="25" t="s">
        <v>154</v>
      </c>
      <c r="E37" s="13" t="s">
        <v>99</v>
      </c>
      <c r="F37" s="25"/>
      <c r="G37" s="25"/>
      <c r="H37" s="25"/>
      <c r="I37" s="27"/>
    </row>
    <row r="38" spans="1:9" x14ac:dyDescent="0.2">
      <c r="A38" s="24">
        <v>4</v>
      </c>
      <c r="B38" s="25" t="s">
        <v>53</v>
      </c>
      <c r="C38" s="25" t="s">
        <v>69</v>
      </c>
      <c r="D38" s="25" t="s">
        <v>156</v>
      </c>
      <c r="E38" s="13" t="s">
        <v>99</v>
      </c>
      <c r="F38" s="25"/>
      <c r="G38" s="25"/>
      <c r="H38" s="25"/>
      <c r="I38" s="27"/>
    </row>
    <row r="39" spans="1:9" x14ac:dyDescent="0.2">
      <c r="A39" s="24">
        <v>5</v>
      </c>
      <c r="B39" s="25" t="s">
        <v>54</v>
      </c>
      <c r="C39" s="25" t="s">
        <v>69</v>
      </c>
      <c r="D39" s="25" t="s">
        <v>157</v>
      </c>
      <c r="E39" s="13" t="s">
        <v>99</v>
      </c>
      <c r="F39" s="25"/>
      <c r="G39" s="25"/>
      <c r="H39" s="25"/>
      <c r="I39" s="27"/>
    </row>
    <row r="40" spans="1:9" x14ac:dyDescent="0.2">
      <c r="A40" s="24">
        <v>6</v>
      </c>
      <c r="B40" s="25" t="s">
        <v>55</v>
      </c>
      <c r="C40" s="25" t="s">
        <v>69</v>
      </c>
      <c r="D40" s="25" t="s">
        <v>158</v>
      </c>
      <c r="E40" s="13" t="s">
        <v>99</v>
      </c>
      <c r="F40" s="25"/>
      <c r="G40" s="25"/>
      <c r="H40" s="25"/>
      <c r="I40" s="27"/>
    </row>
    <row r="41" spans="1:9" x14ac:dyDescent="0.2">
      <c r="A41" s="24">
        <v>7</v>
      </c>
      <c r="B41" s="25" t="s">
        <v>159</v>
      </c>
      <c r="C41" s="25" t="s">
        <v>90</v>
      </c>
      <c r="D41" s="25" t="s">
        <v>160</v>
      </c>
      <c r="E41" s="13" t="s">
        <v>99</v>
      </c>
      <c r="F41" s="25"/>
      <c r="G41" s="25"/>
      <c r="H41" s="25"/>
      <c r="I41" s="27"/>
    </row>
    <row r="42" spans="1:9" x14ac:dyDescent="0.2">
      <c r="A42" s="24">
        <v>8</v>
      </c>
      <c r="B42" s="25" t="s">
        <v>162</v>
      </c>
      <c r="C42" s="25" t="s">
        <v>90</v>
      </c>
      <c r="D42" s="25" t="s">
        <v>163</v>
      </c>
      <c r="E42" s="13" t="s">
        <v>99</v>
      </c>
      <c r="F42" s="25"/>
      <c r="G42" s="25"/>
      <c r="H42" s="25"/>
      <c r="I42" s="27"/>
    </row>
    <row r="43" spans="1:9" x14ac:dyDescent="0.2">
      <c r="A43" s="24">
        <v>9</v>
      </c>
      <c r="B43" s="25" t="s">
        <v>165</v>
      </c>
      <c r="C43" s="25" t="s">
        <v>90</v>
      </c>
      <c r="D43" s="25" t="s">
        <v>166</v>
      </c>
      <c r="E43" s="13" t="s">
        <v>99</v>
      </c>
      <c r="F43" s="25"/>
      <c r="G43" s="25"/>
      <c r="H43" s="25"/>
      <c r="I43" s="27"/>
    </row>
    <row r="44" spans="1:9" x14ac:dyDescent="0.2">
      <c r="A44" s="24">
        <v>10</v>
      </c>
      <c r="B44" s="25" t="s">
        <v>168</v>
      </c>
      <c r="C44" s="25" t="s">
        <v>69</v>
      </c>
      <c r="D44" s="25" t="s">
        <v>169</v>
      </c>
      <c r="E44" s="13" t="s">
        <v>99</v>
      </c>
      <c r="F44" s="25"/>
      <c r="G44" s="25"/>
      <c r="H44" s="25"/>
      <c r="I44" s="27"/>
    </row>
    <row r="45" spans="1:9" ht="14.55" customHeight="1" x14ac:dyDescent="0.3">
      <c r="A45" s="242" t="s">
        <v>170</v>
      </c>
      <c r="B45" s="243"/>
      <c r="C45" s="243"/>
      <c r="D45" s="243"/>
      <c r="E45" s="243"/>
      <c r="F45" s="243"/>
      <c r="G45" s="243"/>
      <c r="H45" s="243"/>
      <c r="I45" s="253"/>
    </row>
    <row r="46" spans="1:9" x14ac:dyDescent="0.3">
      <c r="A46" s="17" t="s">
        <v>59</v>
      </c>
      <c r="B46" s="17" t="s">
        <v>60</v>
      </c>
      <c r="C46" s="149" t="s">
        <v>61</v>
      </c>
      <c r="D46" s="17" t="s">
        <v>62</v>
      </c>
      <c r="E46" s="17" t="s">
        <v>63</v>
      </c>
      <c r="F46" s="17" t="s">
        <v>64</v>
      </c>
      <c r="G46" s="17" t="s">
        <v>65</v>
      </c>
      <c r="H46" s="17" t="s">
        <v>66</v>
      </c>
      <c r="I46" s="17" t="s">
        <v>67</v>
      </c>
    </row>
    <row r="47" spans="1:9" x14ac:dyDescent="0.2">
      <c r="A47" s="24">
        <v>1</v>
      </c>
      <c r="B47" s="25" t="s">
        <v>171</v>
      </c>
      <c r="C47" s="25"/>
      <c r="D47" s="25" t="s">
        <v>172</v>
      </c>
      <c r="E47" s="13" t="s">
        <v>99</v>
      </c>
      <c r="F47" s="25"/>
      <c r="G47" s="25"/>
      <c r="H47" s="25"/>
      <c r="I47" s="27"/>
    </row>
    <row r="48" spans="1:9" x14ac:dyDescent="0.2">
      <c r="A48" s="24">
        <v>2</v>
      </c>
      <c r="B48" s="25" t="s">
        <v>171</v>
      </c>
      <c r="C48" s="25"/>
      <c r="D48" s="25" t="s">
        <v>172</v>
      </c>
      <c r="E48" s="13" t="s">
        <v>99</v>
      </c>
      <c r="F48" s="25"/>
      <c r="G48" s="25"/>
      <c r="H48" s="25"/>
      <c r="I48" s="27"/>
    </row>
  </sheetData>
  <customSheetViews>
    <customSheetView guid="{C845FD7F-3CB2-4CBC-892C-E2474769F660}" fitToPage="1" topLeftCell="A27">
      <selection activeCell="C61" sqref="C61"/>
      <pageMargins left="0" right="0" top="0" bottom="0" header="0" footer="0"/>
      <pageSetup scale="96" orientation="landscape" horizontalDpi="1200" verticalDpi="1200" r:id="rId1"/>
    </customSheetView>
    <customSheetView guid="{25BFA7C9-9C08-4E2D-B44F-21E683ECAB75}" fitToPage="1" hiddenRows="1" topLeftCell="A4">
      <selection activeCell="E25" sqref="E25"/>
      <pageMargins left="0" right="0" top="0" bottom="0" header="0" footer="0"/>
      <pageSetup scale="96" orientation="landscape" horizontalDpi="1200" verticalDpi="1200" r:id="rId2"/>
    </customSheetView>
    <customSheetView guid="{EE8DE643-7531-4BA6-A2AE-CA7A0FACFBB5}" fitToPage="1" hiddenRows="1" topLeftCell="A4">
      <selection activeCell="E25" sqref="E25"/>
      <pageMargins left="0" right="0" top="0" bottom="0" header="0" footer="0"/>
      <pageSetup scale="96" orientation="landscape" horizontalDpi="1200" verticalDpi="1200" r:id="rId3"/>
    </customSheetView>
    <customSheetView guid="{5E8C3AE4-233F-4E25-872C-6621CB9B96CA}" fitToPage="1" hiddenRows="1">
      <selection activeCell="G1" sqref="G1"/>
      <pageMargins left="0" right="0" top="0" bottom="0" header="0" footer="0"/>
      <pageSetup scale="96" orientation="landscape" horizontalDpi="1200" verticalDpi="1200" r:id="rId4"/>
    </customSheetView>
    <customSheetView guid="{E5A90478-501D-42C6-86FE-EBC9FB0438FD}" fitToPage="1" hiddenRows="1">
      <selection activeCell="E25" sqref="E25"/>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2" priority="1">
      <formula>$E5="No Connection"</formula>
    </cfRule>
  </conditionalFormatting>
  <dataValidations count="5">
    <dataValidation type="list" allowBlank="1" showInputMessage="1" showErrorMessage="1" sqref="H5:H16 H19:H30 H35:H44 H47:H48" xr:uid="{24B2E6E6-C7DC-4F25-8009-E82379E4B365}">
      <formula1>INDIRECT("Tag[Tag]")</formula1>
    </dataValidation>
    <dataValidation type="list" allowBlank="1" showInputMessage="1" showErrorMessage="1" sqref="G5:G16 G19:G30 G35:G44 G47:G48" xr:uid="{D032B5A7-5430-47DB-901A-C8804CBA5031}">
      <formula1>INDIRECT("ConnectTo[Connect To]")</formula1>
    </dataValidation>
    <dataValidation type="list" allowBlank="1" showInputMessage="1" showErrorMessage="1" sqref="F47:F48 F19:F30 F35:F44 F5:F16" xr:uid="{A08AA502-9CBE-4F96-8D0E-5AB4B3DB8BF8}">
      <formula1>INDIRECT("Function[Function]")</formula1>
    </dataValidation>
    <dataValidation type="list" allowBlank="1" showInputMessage="1" showErrorMessage="1" sqref="E5:E16 E19:E30 E35:E44 E47:E48" xr:uid="{36FD3AF5-BD99-4E1E-91DF-CB6F5130957F}">
      <formula1>INDIRECT("ConnectionTable[Connection]")</formula1>
    </dataValidation>
    <dataValidation type="list" allowBlank="1" showInputMessage="1" showErrorMessage="1" sqref="C5:C16 C19:C30 C35:C44 C47:C48" xr:uid="{894DFBA4-F83D-4323-A4B8-738FC80E231C}">
      <formula1>INDIRECT("PolarityT[Polarity]")</formula1>
    </dataValidation>
  </dataValidations>
  <pageMargins left="0.5" right="0.5" top="0.5" bottom="0.5" header="0.31496062992125984" footer="0.31496062992125984"/>
  <pageSetup scale="96" orientation="landscape" horizontalDpi="1200" verticalDpi="12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4"/>
  <sheetViews>
    <sheetView zoomScaleNormal="100" workbookViewId="0">
      <selection activeCell="A3" sqref="A3:I3"/>
    </sheetView>
  </sheetViews>
  <sheetFormatPr defaultColWidth="9.109375" defaultRowHeight="11.4" x14ac:dyDescent="0.3"/>
  <cols>
    <col min="1" max="1" width="5.33203125" style="26" customWidth="1"/>
    <col min="2" max="2" width="33.6640625" style="26" bestFit="1" customWidth="1"/>
    <col min="3" max="3" width="9.109375" style="26" bestFit="1" customWidth="1"/>
    <col min="4" max="4" width="25" style="23" customWidth="1"/>
    <col min="5" max="5" width="20.109375" style="23" customWidth="1"/>
    <col min="6" max="6" width="22.33203125" style="23" customWidth="1"/>
    <col min="7" max="7" width="22.109375" style="23" customWidth="1"/>
    <col min="8" max="9" width="31.6640625" style="23" customWidth="1"/>
    <col min="10" max="16384" width="9.109375" style="23"/>
  </cols>
  <sheetData>
    <row r="1" spans="1:9" s="19" customFormat="1" ht="15.6" x14ac:dyDescent="0.3">
      <c r="A1" s="10" t="s">
        <v>176</v>
      </c>
      <c r="B1"/>
      <c r="C1"/>
      <c r="D1" s="11"/>
      <c r="E1" s="11"/>
      <c r="F1"/>
      <c r="G1"/>
      <c r="H1" s="32"/>
    </row>
    <row r="2" spans="1:9" s="19" customFormat="1" ht="15.6" x14ac:dyDescent="0.3">
      <c r="A2" s="11"/>
      <c r="B2"/>
      <c r="C2"/>
      <c r="D2" s="11"/>
      <c r="E2" s="11"/>
      <c r="F2"/>
      <c r="G2"/>
      <c r="H2" s="32"/>
    </row>
    <row r="3" spans="1:9" ht="15.75" customHeight="1" x14ac:dyDescent="0.3">
      <c r="A3" s="256" t="s">
        <v>177</v>
      </c>
      <c r="B3" s="256"/>
      <c r="C3" s="256"/>
      <c r="D3" s="256"/>
      <c r="E3" s="256"/>
      <c r="F3" s="256"/>
      <c r="G3" s="256"/>
      <c r="H3" s="256"/>
      <c r="I3" s="256"/>
    </row>
    <row r="4" spans="1:9" x14ac:dyDescent="0.3">
      <c r="A4" s="17" t="s">
        <v>59</v>
      </c>
      <c r="B4" s="17" t="s">
        <v>60</v>
      </c>
      <c r="C4" s="17" t="s">
        <v>61</v>
      </c>
      <c r="D4" s="17" t="s">
        <v>62</v>
      </c>
      <c r="E4" s="17" t="s">
        <v>63</v>
      </c>
      <c r="F4" s="17" t="s">
        <v>64</v>
      </c>
      <c r="G4" s="17" t="s">
        <v>65</v>
      </c>
      <c r="H4" s="17" t="s">
        <v>66</v>
      </c>
      <c r="I4" s="17" t="s">
        <v>67</v>
      </c>
    </row>
    <row r="5" spans="1:9" x14ac:dyDescent="0.2">
      <c r="A5" s="41">
        <v>1</v>
      </c>
      <c r="B5" s="43" t="s">
        <v>178</v>
      </c>
      <c r="C5" s="25" t="s">
        <v>97</v>
      </c>
      <c r="D5" s="40" t="s">
        <v>179</v>
      </c>
      <c r="E5" s="13" t="s">
        <v>99</v>
      </c>
      <c r="F5" s="25"/>
      <c r="G5" s="25"/>
      <c r="H5" s="25"/>
      <c r="I5" s="27"/>
    </row>
    <row r="6" spans="1:9" ht="12" customHeight="1" x14ac:dyDescent="0.2">
      <c r="A6" s="41">
        <v>2</v>
      </c>
      <c r="B6" s="50" t="s">
        <v>180</v>
      </c>
      <c r="C6" s="25" t="s">
        <v>181</v>
      </c>
      <c r="D6" s="33" t="s">
        <v>182</v>
      </c>
      <c r="E6" s="13" t="s">
        <v>99</v>
      </c>
      <c r="F6" s="25"/>
      <c r="G6" s="25"/>
      <c r="H6" s="25"/>
      <c r="I6" s="27"/>
    </row>
    <row r="7" spans="1:9" ht="12" customHeight="1" x14ac:dyDescent="0.2">
      <c r="A7" s="41">
        <v>3</v>
      </c>
      <c r="B7" s="50" t="s">
        <v>183</v>
      </c>
      <c r="C7" s="25" t="s">
        <v>181</v>
      </c>
      <c r="D7" s="33" t="s">
        <v>184</v>
      </c>
      <c r="E7" s="13" t="s">
        <v>99</v>
      </c>
      <c r="F7" s="25"/>
      <c r="G7" s="25"/>
      <c r="H7" s="25"/>
      <c r="I7" s="27"/>
    </row>
    <row r="8" spans="1:9" ht="12" customHeight="1" x14ac:dyDescent="0.2">
      <c r="A8" s="41">
        <v>4</v>
      </c>
      <c r="B8" s="50" t="s">
        <v>120</v>
      </c>
      <c r="C8" s="25" t="s">
        <v>181</v>
      </c>
      <c r="D8" s="33" t="s">
        <v>185</v>
      </c>
      <c r="E8" s="13" t="s">
        <v>99</v>
      </c>
      <c r="F8" s="25"/>
      <c r="G8" s="25"/>
      <c r="H8" s="25"/>
      <c r="I8" s="27"/>
    </row>
    <row r="9" spans="1:9" ht="12" customHeight="1" x14ac:dyDescent="0.2">
      <c r="A9" s="41">
        <v>5</v>
      </c>
      <c r="B9" s="50" t="s">
        <v>117</v>
      </c>
      <c r="C9" s="25" t="s">
        <v>181</v>
      </c>
      <c r="D9" s="33" t="s">
        <v>186</v>
      </c>
      <c r="E9" s="13" t="s">
        <v>99</v>
      </c>
      <c r="F9" s="25"/>
      <c r="G9" s="25"/>
      <c r="H9" s="25"/>
      <c r="I9" s="27"/>
    </row>
    <row r="10" spans="1:9" ht="12" customHeight="1" x14ac:dyDescent="0.2">
      <c r="A10" s="41">
        <v>6</v>
      </c>
      <c r="B10" s="43" t="s">
        <v>187</v>
      </c>
      <c r="C10" s="25" t="s">
        <v>181</v>
      </c>
      <c r="D10" s="40" t="s">
        <v>188</v>
      </c>
      <c r="E10" s="13" t="s">
        <v>99</v>
      </c>
      <c r="F10" s="25"/>
      <c r="G10" s="25"/>
      <c r="H10" s="25"/>
      <c r="I10" s="27"/>
    </row>
    <row r="11" spans="1:9" ht="12" customHeight="1" x14ac:dyDescent="0.2">
      <c r="A11" s="41">
        <v>7</v>
      </c>
      <c r="B11" s="43" t="s">
        <v>123</v>
      </c>
      <c r="C11" s="25" t="s">
        <v>181</v>
      </c>
      <c r="D11" s="40" t="s">
        <v>189</v>
      </c>
      <c r="E11" s="13" t="s">
        <v>99</v>
      </c>
      <c r="F11" s="25"/>
      <c r="G11" s="25"/>
      <c r="H11" s="25"/>
      <c r="I11" s="27"/>
    </row>
    <row r="12" spans="1:9" ht="12" customHeight="1" x14ac:dyDescent="0.2">
      <c r="A12" s="41">
        <v>8</v>
      </c>
      <c r="B12" s="43" t="s">
        <v>125</v>
      </c>
      <c r="C12" s="25" t="s">
        <v>181</v>
      </c>
      <c r="D12" s="40" t="s">
        <v>190</v>
      </c>
      <c r="E12" s="13" t="s">
        <v>99</v>
      </c>
      <c r="F12" s="25"/>
      <c r="G12" s="25"/>
      <c r="H12" s="25"/>
      <c r="I12" s="27"/>
    </row>
    <row r="13" spans="1:9" ht="12" customHeight="1" x14ac:dyDescent="0.2">
      <c r="A13" s="41">
        <v>9</v>
      </c>
      <c r="B13" s="42" t="s">
        <v>191</v>
      </c>
      <c r="C13" s="25" t="s">
        <v>97</v>
      </c>
      <c r="D13" s="40" t="s">
        <v>192</v>
      </c>
      <c r="E13" s="13" t="s">
        <v>99</v>
      </c>
      <c r="F13" s="25"/>
      <c r="G13" s="25"/>
      <c r="H13" s="25"/>
      <c r="I13" s="27"/>
    </row>
    <row r="14" spans="1:9" ht="12" customHeight="1" x14ac:dyDescent="0.2">
      <c r="A14" s="41">
        <v>10</v>
      </c>
      <c r="B14" s="42" t="s">
        <v>193</v>
      </c>
      <c r="C14" s="25" t="s">
        <v>69</v>
      </c>
      <c r="D14" s="40" t="s">
        <v>194</v>
      </c>
      <c r="E14" s="13" t="s">
        <v>99</v>
      </c>
      <c r="F14" s="25"/>
      <c r="G14" s="25"/>
      <c r="H14" s="25"/>
      <c r="I14" s="27"/>
    </row>
    <row r="15" spans="1:9" ht="12" customHeight="1" x14ac:dyDescent="0.2">
      <c r="A15" s="41">
        <v>11</v>
      </c>
      <c r="B15" s="42" t="s">
        <v>195</v>
      </c>
      <c r="C15" s="25" t="s">
        <v>69</v>
      </c>
      <c r="D15" s="40" t="s">
        <v>196</v>
      </c>
      <c r="E15" s="13" t="s">
        <v>99</v>
      </c>
      <c r="F15" s="25"/>
      <c r="G15" s="25"/>
      <c r="H15" s="25"/>
      <c r="I15" s="27"/>
    </row>
    <row r="16" spans="1:9" ht="12" customHeight="1" x14ac:dyDescent="0.2">
      <c r="A16" s="41">
        <v>12</v>
      </c>
      <c r="B16" s="42" t="s">
        <v>197</v>
      </c>
      <c r="C16" s="25" t="s">
        <v>90</v>
      </c>
      <c r="D16" s="40" t="s">
        <v>198</v>
      </c>
      <c r="E16" s="13" t="s">
        <v>99</v>
      </c>
      <c r="F16" s="25"/>
      <c r="G16" s="25"/>
      <c r="H16" s="25"/>
      <c r="I16" s="27"/>
    </row>
    <row r="17" spans="1:9" ht="12" customHeight="1" x14ac:dyDescent="0.2">
      <c r="A17" s="41">
        <v>12</v>
      </c>
      <c r="B17" s="42" t="s">
        <v>197</v>
      </c>
      <c r="C17" s="25" t="s">
        <v>90</v>
      </c>
      <c r="D17" s="40" t="s">
        <v>198</v>
      </c>
      <c r="E17" s="13" t="s">
        <v>99</v>
      </c>
      <c r="F17" s="25"/>
      <c r="G17" s="25"/>
      <c r="H17" s="25"/>
      <c r="I17" s="27"/>
    </row>
    <row r="18" spans="1:9" ht="12" customHeight="1" x14ac:dyDescent="0.2">
      <c r="A18" s="41">
        <v>13</v>
      </c>
      <c r="B18" s="42" t="s">
        <v>199</v>
      </c>
      <c r="C18" s="25" t="s">
        <v>69</v>
      </c>
      <c r="D18" s="40" t="s">
        <v>200</v>
      </c>
      <c r="E18" s="13" t="s">
        <v>99</v>
      </c>
      <c r="F18" s="25"/>
      <c r="G18" s="25"/>
      <c r="H18" s="25"/>
      <c r="I18" s="27"/>
    </row>
    <row r="19" spans="1:9" ht="12" customHeight="1" x14ac:dyDescent="0.2">
      <c r="A19" s="41">
        <v>14</v>
      </c>
      <c r="B19" s="42" t="s">
        <v>201</v>
      </c>
      <c r="C19" s="25" t="s">
        <v>90</v>
      </c>
      <c r="D19" s="40" t="s">
        <v>202</v>
      </c>
      <c r="E19" s="13" t="s">
        <v>99</v>
      </c>
      <c r="F19" s="25"/>
      <c r="G19" s="25"/>
      <c r="H19" s="25"/>
      <c r="I19" s="27"/>
    </row>
    <row r="20" spans="1:9" x14ac:dyDescent="0.2">
      <c r="A20" s="41">
        <v>15</v>
      </c>
      <c r="B20" s="45" t="s">
        <v>203</v>
      </c>
      <c r="C20" s="25"/>
      <c r="D20" s="40" t="s">
        <v>204</v>
      </c>
      <c r="E20" s="13" t="s">
        <v>99</v>
      </c>
      <c r="F20" s="25"/>
      <c r="G20" s="25"/>
      <c r="H20" s="25"/>
      <c r="I20" s="27"/>
    </row>
    <row r="21" spans="1:9" x14ac:dyDescent="0.2">
      <c r="A21" s="41">
        <v>16</v>
      </c>
      <c r="B21" s="43" t="s">
        <v>115</v>
      </c>
      <c r="C21" s="25" t="s">
        <v>181</v>
      </c>
      <c r="D21" s="40" t="s">
        <v>205</v>
      </c>
      <c r="E21" s="13" t="s">
        <v>99</v>
      </c>
      <c r="F21" s="25"/>
      <c r="G21" s="25"/>
      <c r="H21" s="25"/>
      <c r="I21" s="27"/>
    </row>
    <row r="22" spans="1:9" ht="15.75" customHeight="1" x14ac:dyDescent="0.3">
      <c r="A22" s="256" t="s">
        <v>206</v>
      </c>
      <c r="B22" s="256"/>
      <c r="C22" s="256"/>
      <c r="D22" s="256"/>
      <c r="E22" s="256"/>
      <c r="F22" s="256"/>
      <c r="G22" s="256"/>
      <c r="H22" s="256"/>
      <c r="I22" s="256"/>
    </row>
    <row r="23" spans="1:9" x14ac:dyDescent="0.3">
      <c r="A23" s="17" t="s">
        <v>59</v>
      </c>
      <c r="B23" s="17" t="s">
        <v>60</v>
      </c>
      <c r="C23" s="17" t="s">
        <v>61</v>
      </c>
      <c r="D23" s="17" t="s">
        <v>62</v>
      </c>
      <c r="E23" s="17" t="s">
        <v>63</v>
      </c>
      <c r="F23" s="17" t="s">
        <v>64</v>
      </c>
      <c r="G23" s="17" t="s">
        <v>65</v>
      </c>
      <c r="H23" s="17" t="s">
        <v>66</v>
      </c>
      <c r="I23" s="17" t="s">
        <v>67</v>
      </c>
    </row>
    <row r="24" spans="1:9" x14ac:dyDescent="0.2">
      <c r="A24" s="41">
        <v>1</v>
      </c>
      <c r="B24" s="42" t="s">
        <v>207</v>
      </c>
      <c r="C24" s="25" t="s">
        <v>69</v>
      </c>
      <c r="D24" s="40" t="s">
        <v>208</v>
      </c>
      <c r="E24" s="13" t="s">
        <v>99</v>
      </c>
      <c r="F24" s="25"/>
      <c r="G24" s="25"/>
      <c r="H24" s="25"/>
      <c r="I24" s="27"/>
    </row>
    <row r="25" spans="1:9" x14ac:dyDescent="0.2">
      <c r="A25" s="41">
        <v>2</v>
      </c>
      <c r="B25" s="43" t="s">
        <v>209</v>
      </c>
      <c r="C25" s="25" t="s">
        <v>69</v>
      </c>
      <c r="D25" s="40" t="s">
        <v>210</v>
      </c>
      <c r="E25" s="13" t="s">
        <v>99</v>
      </c>
      <c r="F25" s="25"/>
      <c r="G25" s="25"/>
      <c r="H25" s="25"/>
      <c r="I25" s="27"/>
    </row>
    <row r="26" spans="1:9" x14ac:dyDescent="0.2">
      <c r="A26" s="41">
        <v>3</v>
      </c>
      <c r="B26" s="43" t="s">
        <v>211</v>
      </c>
      <c r="C26" s="25" t="s">
        <v>69</v>
      </c>
      <c r="D26" s="40" t="s">
        <v>212</v>
      </c>
      <c r="E26" s="13" t="s">
        <v>99</v>
      </c>
      <c r="F26" s="25"/>
      <c r="G26" s="25"/>
      <c r="H26" s="25"/>
      <c r="I26" s="27"/>
    </row>
    <row r="27" spans="1:9" x14ac:dyDescent="0.2">
      <c r="A27" s="41">
        <v>4</v>
      </c>
      <c r="B27" s="43"/>
      <c r="C27" s="25"/>
      <c r="D27" s="40" t="s">
        <v>204</v>
      </c>
      <c r="E27" s="13" t="s">
        <v>99</v>
      </c>
      <c r="F27" s="25"/>
      <c r="G27" s="25"/>
      <c r="H27" s="25"/>
      <c r="I27" s="27"/>
    </row>
    <row r="28" spans="1:9" x14ac:dyDescent="0.2">
      <c r="A28" s="41">
        <v>5</v>
      </c>
      <c r="B28" s="42" t="s">
        <v>213</v>
      </c>
      <c r="C28" s="25" t="s">
        <v>90</v>
      </c>
      <c r="D28" s="40" t="s">
        <v>214</v>
      </c>
      <c r="E28" s="13" t="s">
        <v>99</v>
      </c>
      <c r="F28" s="25"/>
      <c r="G28" s="25"/>
      <c r="H28" s="25"/>
      <c r="I28" s="27"/>
    </row>
    <row r="29" spans="1:9" x14ac:dyDescent="0.2">
      <c r="A29" s="41">
        <v>6</v>
      </c>
      <c r="B29" s="43" t="s">
        <v>215</v>
      </c>
      <c r="C29" s="25" t="s">
        <v>85</v>
      </c>
      <c r="D29" s="40" t="s">
        <v>216</v>
      </c>
      <c r="E29" s="13" t="s">
        <v>99</v>
      </c>
      <c r="F29" s="25"/>
      <c r="G29" s="25"/>
      <c r="H29" s="25"/>
      <c r="I29" s="27"/>
    </row>
    <row r="30" spans="1:9" x14ac:dyDescent="0.2">
      <c r="A30" s="41">
        <v>7</v>
      </c>
      <c r="B30" s="43" t="s">
        <v>217</v>
      </c>
      <c r="C30" s="25" t="s">
        <v>69</v>
      </c>
      <c r="D30" s="40" t="s">
        <v>218</v>
      </c>
      <c r="E30" s="13" t="s">
        <v>99</v>
      </c>
      <c r="F30" s="25"/>
      <c r="G30" s="25"/>
      <c r="H30" s="25"/>
      <c r="I30" s="27"/>
    </row>
    <row r="31" spans="1:9" x14ac:dyDescent="0.2">
      <c r="A31" s="41">
        <v>8</v>
      </c>
      <c r="B31" s="43" t="s">
        <v>219</v>
      </c>
      <c r="C31" s="25" t="s">
        <v>69</v>
      </c>
      <c r="D31" s="40" t="s">
        <v>220</v>
      </c>
      <c r="E31" s="13" t="s">
        <v>99</v>
      </c>
      <c r="F31" s="25"/>
      <c r="G31" s="25"/>
      <c r="H31" s="25"/>
      <c r="I31" s="27"/>
    </row>
    <row r="32" spans="1:9" x14ac:dyDescent="0.2">
      <c r="A32" s="41">
        <v>9</v>
      </c>
      <c r="B32" s="43" t="s">
        <v>221</v>
      </c>
      <c r="C32" s="25" t="s">
        <v>90</v>
      </c>
      <c r="D32" s="40" t="s">
        <v>222</v>
      </c>
      <c r="E32" s="13" t="s">
        <v>99</v>
      </c>
      <c r="F32" s="25"/>
      <c r="G32" s="25"/>
      <c r="H32" s="25"/>
      <c r="I32" s="27"/>
    </row>
    <row r="33" spans="1:9" x14ac:dyDescent="0.2">
      <c r="A33" s="41">
        <v>10</v>
      </c>
      <c r="B33" s="43" t="s">
        <v>223</v>
      </c>
      <c r="C33" s="25" t="s">
        <v>69</v>
      </c>
      <c r="D33" s="40" t="s">
        <v>224</v>
      </c>
      <c r="E33" s="13" t="s">
        <v>99</v>
      </c>
      <c r="F33" s="25"/>
      <c r="G33" s="25"/>
      <c r="H33" s="25"/>
      <c r="I33" s="27"/>
    </row>
    <row r="34" spans="1:9" x14ac:dyDescent="0.2">
      <c r="A34" s="41">
        <v>11</v>
      </c>
      <c r="B34" s="43" t="s">
        <v>225</v>
      </c>
      <c r="C34" s="25" t="s">
        <v>90</v>
      </c>
      <c r="D34" s="40" t="s">
        <v>226</v>
      </c>
      <c r="E34" s="13" t="s">
        <v>99</v>
      </c>
      <c r="F34" s="25"/>
      <c r="G34" s="25"/>
      <c r="H34" s="25"/>
      <c r="I34" s="27"/>
    </row>
    <row r="35" spans="1:9" x14ac:dyDescent="0.2">
      <c r="A35" s="41">
        <v>12</v>
      </c>
      <c r="B35" s="42" t="s">
        <v>227</v>
      </c>
      <c r="C35" s="25" t="s">
        <v>69</v>
      </c>
      <c r="D35" s="40" t="s">
        <v>228</v>
      </c>
      <c r="E35" s="13" t="s">
        <v>99</v>
      </c>
      <c r="F35" s="25"/>
      <c r="G35" s="25"/>
      <c r="H35" s="25"/>
      <c r="I35" s="27"/>
    </row>
    <row r="36" spans="1:9" ht="12" customHeight="1" x14ac:dyDescent="0.2">
      <c r="A36" s="41">
        <v>13</v>
      </c>
      <c r="B36" s="43" t="s">
        <v>229</v>
      </c>
      <c r="C36" s="25" t="s">
        <v>69</v>
      </c>
      <c r="D36" s="40" t="s">
        <v>230</v>
      </c>
      <c r="E36" s="13" t="s">
        <v>99</v>
      </c>
      <c r="F36" s="25"/>
      <c r="G36" s="25"/>
      <c r="H36" s="25"/>
      <c r="I36" s="27"/>
    </row>
    <row r="37" spans="1:9" x14ac:dyDescent="0.2">
      <c r="A37" s="41">
        <v>14</v>
      </c>
      <c r="B37" s="43" t="s">
        <v>231</v>
      </c>
      <c r="C37" s="25" t="s">
        <v>69</v>
      </c>
      <c r="D37" s="40" t="s">
        <v>232</v>
      </c>
      <c r="E37" s="13" t="s">
        <v>99</v>
      </c>
      <c r="F37" s="25"/>
      <c r="G37" s="25"/>
      <c r="H37" s="25"/>
      <c r="I37" s="27"/>
    </row>
    <row r="38" spans="1:9" x14ac:dyDescent="0.2">
      <c r="A38" s="41">
        <v>15</v>
      </c>
      <c r="B38" s="43" t="s">
        <v>233</v>
      </c>
      <c r="C38" s="25" t="s">
        <v>69</v>
      </c>
      <c r="D38" s="40" t="s">
        <v>234</v>
      </c>
      <c r="E38" s="13" t="s">
        <v>99</v>
      </c>
      <c r="F38" s="25"/>
      <c r="G38" s="25"/>
      <c r="H38" s="25"/>
      <c r="I38" s="27"/>
    </row>
    <row r="39" spans="1:9" x14ac:dyDescent="0.2">
      <c r="A39" s="41">
        <v>16</v>
      </c>
      <c r="B39" s="43" t="s">
        <v>235</v>
      </c>
      <c r="C39" s="25" t="s">
        <v>90</v>
      </c>
      <c r="D39" s="40" t="s">
        <v>236</v>
      </c>
      <c r="E39" s="13" t="s">
        <v>99</v>
      </c>
      <c r="F39" s="25"/>
      <c r="G39" s="25"/>
      <c r="H39" s="25"/>
      <c r="I39" s="27"/>
    </row>
    <row r="40" spans="1:9" x14ac:dyDescent="0.2">
      <c r="A40" s="41">
        <v>17</v>
      </c>
      <c r="B40" s="43" t="s">
        <v>237</v>
      </c>
      <c r="C40" s="25" t="s">
        <v>90</v>
      </c>
      <c r="D40" s="40" t="s">
        <v>238</v>
      </c>
      <c r="E40" s="13" t="s">
        <v>99</v>
      </c>
      <c r="F40" s="25"/>
      <c r="G40" s="25"/>
      <c r="H40" s="25"/>
      <c r="I40" s="27"/>
    </row>
    <row r="41" spans="1:9" x14ac:dyDescent="0.2">
      <c r="A41" s="41">
        <v>18</v>
      </c>
      <c r="B41" s="43" t="s">
        <v>239</v>
      </c>
      <c r="C41" s="25" t="s">
        <v>69</v>
      </c>
      <c r="D41" s="40" t="s">
        <v>240</v>
      </c>
      <c r="E41" s="13" t="s">
        <v>99</v>
      </c>
      <c r="F41" s="25"/>
      <c r="G41" s="25"/>
      <c r="H41" s="25"/>
      <c r="I41" s="27"/>
    </row>
    <row r="42" spans="1:9" ht="15.75" customHeight="1" x14ac:dyDescent="0.3">
      <c r="A42" s="256" t="s">
        <v>241</v>
      </c>
      <c r="B42" s="256"/>
      <c r="C42" s="256"/>
      <c r="D42" s="256"/>
      <c r="E42" s="256"/>
      <c r="F42" s="256"/>
      <c r="G42" s="256"/>
      <c r="H42" s="256"/>
      <c r="I42" s="256"/>
    </row>
    <row r="43" spans="1:9" x14ac:dyDescent="0.3">
      <c r="A43" s="17" t="s">
        <v>59</v>
      </c>
      <c r="B43" s="17" t="s">
        <v>60</v>
      </c>
      <c r="C43" s="17" t="s">
        <v>61</v>
      </c>
      <c r="D43" s="17" t="s">
        <v>62</v>
      </c>
      <c r="E43" s="17" t="s">
        <v>63</v>
      </c>
      <c r="F43" s="17" t="s">
        <v>64</v>
      </c>
      <c r="G43" s="17" t="s">
        <v>65</v>
      </c>
      <c r="H43" s="17" t="s">
        <v>66</v>
      </c>
      <c r="I43" s="17" t="s">
        <v>67</v>
      </c>
    </row>
    <row r="44" spans="1:9" ht="12" customHeight="1" x14ac:dyDescent="0.2">
      <c r="A44" s="41">
        <v>1</v>
      </c>
      <c r="B44" s="43" t="s">
        <v>242</v>
      </c>
      <c r="C44" s="25" t="s">
        <v>69</v>
      </c>
      <c r="D44" s="40" t="s">
        <v>243</v>
      </c>
      <c r="E44" s="13" t="s">
        <v>99</v>
      </c>
      <c r="F44" s="25"/>
      <c r="G44" s="25"/>
      <c r="H44" s="25"/>
      <c r="I44" s="27"/>
    </row>
    <row r="45" spans="1:9" x14ac:dyDescent="0.2">
      <c r="A45" s="41">
        <v>2</v>
      </c>
      <c r="B45" s="43" t="s">
        <v>244</v>
      </c>
      <c r="C45" s="25"/>
      <c r="D45" s="40" t="s">
        <v>245</v>
      </c>
      <c r="E45" s="13" t="s">
        <v>99</v>
      </c>
      <c r="F45" s="25"/>
      <c r="G45" s="25"/>
      <c r="H45" s="25"/>
      <c r="I45" s="27"/>
    </row>
    <row r="46" spans="1:9" x14ac:dyDescent="0.2">
      <c r="A46" s="41">
        <v>3</v>
      </c>
      <c r="B46" s="43" t="s">
        <v>246</v>
      </c>
      <c r="C46" s="25" t="s">
        <v>69</v>
      </c>
      <c r="D46" s="40" t="s">
        <v>247</v>
      </c>
      <c r="E46" s="13" t="s">
        <v>99</v>
      </c>
      <c r="F46" s="25"/>
      <c r="G46" s="25"/>
      <c r="H46" s="25"/>
      <c r="I46" s="27"/>
    </row>
    <row r="47" spans="1:9" x14ac:dyDescent="0.2">
      <c r="A47" s="41">
        <v>4</v>
      </c>
      <c r="B47" s="43" t="s">
        <v>248</v>
      </c>
      <c r="C47" s="25" t="s">
        <v>69</v>
      </c>
      <c r="D47" s="40" t="s">
        <v>249</v>
      </c>
      <c r="E47" s="13" t="s">
        <v>99</v>
      </c>
      <c r="F47" s="25"/>
      <c r="G47" s="25"/>
      <c r="H47" s="25"/>
      <c r="I47" s="27"/>
    </row>
    <row r="48" spans="1:9" ht="12" customHeight="1" x14ac:dyDescent="0.2">
      <c r="A48" s="41">
        <v>5</v>
      </c>
      <c r="B48" s="43" t="s">
        <v>250</v>
      </c>
      <c r="C48" s="25" t="s">
        <v>69</v>
      </c>
      <c r="D48" s="40" t="s">
        <v>251</v>
      </c>
      <c r="E48" s="13" t="s">
        <v>99</v>
      </c>
      <c r="F48" s="25"/>
      <c r="G48" s="25"/>
      <c r="H48" s="25"/>
      <c r="I48" s="27"/>
    </row>
    <row r="49" spans="1:9" ht="12" customHeight="1" x14ac:dyDescent="0.2">
      <c r="A49" s="41">
        <v>6</v>
      </c>
      <c r="B49" s="43" t="s">
        <v>252</v>
      </c>
      <c r="C49" s="25" t="s">
        <v>69</v>
      </c>
      <c r="D49" s="40" t="s">
        <v>253</v>
      </c>
      <c r="E49" s="13" t="s">
        <v>99</v>
      </c>
      <c r="F49" s="25"/>
      <c r="G49" s="25"/>
      <c r="H49" s="25"/>
      <c r="I49" s="27"/>
    </row>
    <row r="50" spans="1:9" x14ac:dyDescent="0.2">
      <c r="A50" s="41">
        <v>7</v>
      </c>
      <c r="B50" s="43" t="s">
        <v>254</v>
      </c>
      <c r="C50" s="25" t="s">
        <v>90</v>
      </c>
      <c r="D50" s="40" t="s">
        <v>255</v>
      </c>
      <c r="E50" s="13" t="s">
        <v>99</v>
      </c>
      <c r="F50" s="25"/>
      <c r="G50" s="25"/>
      <c r="H50" s="25"/>
      <c r="I50" s="27"/>
    </row>
    <row r="51" spans="1:9" ht="15" customHeight="1" x14ac:dyDescent="0.3">
      <c r="A51" s="256" t="s">
        <v>256</v>
      </c>
      <c r="B51" s="256"/>
      <c r="C51" s="256"/>
      <c r="D51" s="256"/>
      <c r="E51" s="256"/>
      <c r="F51" s="256"/>
      <c r="G51" s="256"/>
      <c r="H51" s="256"/>
      <c r="I51" s="256"/>
    </row>
    <row r="52" spans="1:9" x14ac:dyDescent="0.3">
      <c r="A52" s="17" t="s">
        <v>59</v>
      </c>
      <c r="B52" s="17" t="s">
        <v>60</v>
      </c>
      <c r="C52" s="17" t="s">
        <v>61</v>
      </c>
      <c r="D52" s="17" t="s">
        <v>62</v>
      </c>
      <c r="E52" s="17" t="s">
        <v>63</v>
      </c>
      <c r="F52" s="17" t="s">
        <v>64</v>
      </c>
      <c r="G52" s="17" t="s">
        <v>65</v>
      </c>
      <c r="H52" s="17" t="s">
        <v>66</v>
      </c>
      <c r="I52" s="17" t="s">
        <v>67</v>
      </c>
    </row>
    <row r="53" spans="1:9" ht="12" customHeight="1" x14ac:dyDescent="0.2">
      <c r="A53" s="41">
        <v>1</v>
      </c>
      <c r="B53" s="43" t="s">
        <v>257</v>
      </c>
      <c r="C53" s="25"/>
      <c r="D53" s="40" t="s">
        <v>247</v>
      </c>
      <c r="E53" s="13" t="s">
        <v>99</v>
      </c>
      <c r="F53" s="25"/>
      <c r="G53" s="25"/>
      <c r="H53" s="25"/>
      <c r="I53" s="27"/>
    </row>
    <row r="54" spans="1:9" x14ac:dyDescent="0.2">
      <c r="A54" s="41">
        <v>2</v>
      </c>
      <c r="B54" s="43" t="s">
        <v>258</v>
      </c>
      <c r="C54" s="25"/>
      <c r="D54" s="40" t="s">
        <v>222</v>
      </c>
      <c r="E54" s="13" t="s">
        <v>99</v>
      </c>
      <c r="F54" s="25"/>
      <c r="G54" s="25"/>
      <c r="H54" s="25"/>
      <c r="I54" s="27"/>
    </row>
    <row r="55" spans="1:9" x14ac:dyDescent="0.2">
      <c r="A55" s="41">
        <v>3</v>
      </c>
      <c r="B55" s="43" t="s">
        <v>259</v>
      </c>
      <c r="C55" s="25"/>
      <c r="D55" s="40" t="s">
        <v>260</v>
      </c>
      <c r="E55" s="13" t="s">
        <v>99</v>
      </c>
      <c r="F55" s="25"/>
      <c r="G55" s="25"/>
      <c r="H55" s="25"/>
      <c r="I55" s="27"/>
    </row>
    <row r="56" spans="1:9" x14ac:dyDescent="0.2">
      <c r="A56" s="41">
        <v>4</v>
      </c>
      <c r="B56" s="43" t="s">
        <v>261</v>
      </c>
      <c r="C56" s="25"/>
      <c r="D56" s="40" t="s">
        <v>262</v>
      </c>
      <c r="E56" s="13" t="s">
        <v>99</v>
      </c>
      <c r="F56" s="25"/>
      <c r="G56" s="25"/>
      <c r="H56" s="25"/>
      <c r="I56" s="27"/>
    </row>
    <row r="57" spans="1:9" x14ac:dyDescent="0.2">
      <c r="A57" s="41">
        <v>5</v>
      </c>
      <c r="B57" s="43" t="s">
        <v>263</v>
      </c>
      <c r="C57" s="25"/>
      <c r="D57" s="40" t="s">
        <v>249</v>
      </c>
      <c r="E57" s="13" t="s">
        <v>99</v>
      </c>
      <c r="F57" s="25"/>
      <c r="G57" s="25"/>
      <c r="H57" s="25"/>
      <c r="I57" s="27"/>
    </row>
    <row r="58" spans="1:9" x14ac:dyDescent="0.2">
      <c r="A58" s="41">
        <v>6</v>
      </c>
      <c r="B58" s="43" t="s">
        <v>264</v>
      </c>
      <c r="C58" s="25"/>
      <c r="D58" s="40" t="s">
        <v>262</v>
      </c>
      <c r="E58" s="13" t="s">
        <v>99</v>
      </c>
      <c r="F58" s="25"/>
      <c r="G58" s="25"/>
      <c r="H58" s="25"/>
      <c r="I58" s="27"/>
    </row>
    <row r="59" spans="1:9" x14ac:dyDescent="0.2">
      <c r="A59" s="41">
        <v>7</v>
      </c>
      <c r="B59" s="43" t="s">
        <v>265</v>
      </c>
      <c r="C59" s="25"/>
      <c r="D59" s="40" t="s">
        <v>266</v>
      </c>
      <c r="E59" s="13" t="s">
        <v>99</v>
      </c>
      <c r="F59" s="25"/>
      <c r="G59" s="25"/>
      <c r="H59" s="25"/>
      <c r="I59" s="27"/>
    </row>
    <row r="60" spans="1:9" x14ac:dyDescent="0.2">
      <c r="A60" s="41">
        <v>8</v>
      </c>
      <c r="B60" s="43" t="s">
        <v>267</v>
      </c>
      <c r="C60" s="25"/>
      <c r="D60" s="40" t="s">
        <v>253</v>
      </c>
      <c r="E60" s="13" t="s">
        <v>99</v>
      </c>
      <c r="F60" s="25"/>
      <c r="G60" s="25"/>
      <c r="H60" s="25"/>
      <c r="I60" s="27"/>
    </row>
    <row r="61" spans="1:9" ht="15.75" customHeight="1" x14ac:dyDescent="0.3">
      <c r="A61" s="256" t="s">
        <v>268</v>
      </c>
      <c r="B61" s="256"/>
      <c r="C61" s="256"/>
      <c r="D61" s="256"/>
      <c r="E61" s="256"/>
      <c r="F61" s="256"/>
      <c r="G61" s="256"/>
      <c r="H61" s="256"/>
      <c r="I61" s="256"/>
    </row>
    <row r="62" spans="1:9" x14ac:dyDescent="0.3">
      <c r="A62" s="17" t="s">
        <v>59</v>
      </c>
      <c r="B62" s="17" t="s">
        <v>60</v>
      </c>
      <c r="C62" s="17" t="s">
        <v>61</v>
      </c>
      <c r="D62" s="17" t="s">
        <v>62</v>
      </c>
      <c r="E62" s="17" t="s">
        <v>63</v>
      </c>
      <c r="F62" s="17" t="s">
        <v>64</v>
      </c>
      <c r="G62" s="17" t="s">
        <v>65</v>
      </c>
      <c r="H62" s="17" t="s">
        <v>66</v>
      </c>
      <c r="I62" s="17" t="s">
        <v>67</v>
      </c>
    </row>
    <row r="63" spans="1:9" ht="12" customHeight="1" x14ac:dyDescent="0.2">
      <c r="A63" s="37" t="s">
        <v>269</v>
      </c>
      <c r="B63" s="46" t="s">
        <v>270</v>
      </c>
      <c r="C63" s="25" t="s">
        <v>131</v>
      </c>
      <c r="D63" s="38" t="s">
        <v>271</v>
      </c>
      <c r="E63" s="13" t="s">
        <v>99</v>
      </c>
      <c r="F63" s="25"/>
      <c r="G63" s="25"/>
      <c r="H63" s="25"/>
      <c r="I63" s="27"/>
    </row>
    <row r="64" spans="1:9" x14ac:dyDescent="0.2">
      <c r="A64" s="41" t="s">
        <v>272</v>
      </c>
      <c r="B64" s="46" t="s">
        <v>273</v>
      </c>
      <c r="C64" s="25" t="s">
        <v>128</v>
      </c>
      <c r="D64" s="38" t="s">
        <v>274</v>
      </c>
      <c r="E64" s="13" t="s">
        <v>99</v>
      </c>
      <c r="F64" s="25"/>
      <c r="G64" s="25"/>
      <c r="H64" s="25"/>
      <c r="I64" s="27"/>
    </row>
    <row r="65" spans="1:9" x14ac:dyDescent="0.2">
      <c r="A65" s="41" t="s">
        <v>275</v>
      </c>
      <c r="B65" s="46" t="s">
        <v>276</v>
      </c>
      <c r="C65" s="25" t="s">
        <v>128</v>
      </c>
      <c r="D65" s="38" t="s">
        <v>277</v>
      </c>
      <c r="E65" s="13" t="s">
        <v>99</v>
      </c>
      <c r="F65" s="25"/>
      <c r="G65" s="25"/>
      <c r="H65" s="25"/>
      <c r="I65" s="27"/>
    </row>
    <row r="66" spans="1:9" x14ac:dyDescent="0.2">
      <c r="A66" s="41" t="s">
        <v>279</v>
      </c>
      <c r="B66" s="46" t="s">
        <v>280</v>
      </c>
      <c r="C66" s="25" t="s">
        <v>131</v>
      </c>
      <c r="D66" s="38" t="s">
        <v>281</v>
      </c>
      <c r="E66" s="13" t="s">
        <v>99</v>
      </c>
      <c r="F66" s="25"/>
      <c r="G66" s="25"/>
      <c r="H66" s="25"/>
      <c r="I66" s="27"/>
    </row>
    <row r="67" spans="1:9" x14ac:dyDescent="0.2">
      <c r="A67" s="41" t="s">
        <v>282</v>
      </c>
      <c r="B67" s="46" t="s">
        <v>283</v>
      </c>
      <c r="C67" s="25" t="s">
        <v>134</v>
      </c>
      <c r="D67" s="38" t="s">
        <v>284</v>
      </c>
      <c r="E67" s="13" t="s">
        <v>99</v>
      </c>
      <c r="F67" s="25"/>
      <c r="G67" s="25"/>
      <c r="H67" s="25"/>
      <c r="I67" s="27"/>
    </row>
    <row r="68" spans="1:9" x14ac:dyDescent="0.2">
      <c r="A68" s="41" t="s">
        <v>285</v>
      </c>
      <c r="B68" s="44" t="s">
        <v>286</v>
      </c>
      <c r="C68" s="25" t="s">
        <v>131</v>
      </c>
      <c r="D68" s="39" t="s">
        <v>287</v>
      </c>
      <c r="E68" s="13" t="s">
        <v>99</v>
      </c>
      <c r="F68" s="25"/>
      <c r="G68" s="25"/>
      <c r="H68" s="25"/>
      <c r="I68" s="27"/>
    </row>
    <row r="69" spans="1:9" x14ac:dyDescent="0.2">
      <c r="A69" s="41" t="s">
        <v>289</v>
      </c>
      <c r="B69" s="46" t="s">
        <v>270</v>
      </c>
      <c r="C69" s="25" t="s">
        <v>131</v>
      </c>
      <c r="D69" s="38" t="s">
        <v>271</v>
      </c>
      <c r="E69" s="13" t="s">
        <v>99</v>
      </c>
      <c r="F69" s="25"/>
      <c r="G69" s="25"/>
      <c r="H69" s="25"/>
      <c r="I69" s="27"/>
    </row>
    <row r="70" spans="1:9" x14ac:dyDescent="0.2">
      <c r="A70" s="37" t="s">
        <v>290</v>
      </c>
      <c r="B70" s="46" t="s">
        <v>291</v>
      </c>
      <c r="C70" s="25" t="s">
        <v>128</v>
      </c>
      <c r="D70" s="38" t="s">
        <v>274</v>
      </c>
      <c r="E70" s="13" t="s">
        <v>99</v>
      </c>
      <c r="F70" s="25"/>
      <c r="G70" s="25"/>
      <c r="H70" s="25"/>
      <c r="I70" s="27"/>
    </row>
    <row r="71" spans="1:9" x14ac:dyDescent="0.2">
      <c r="A71" s="48" t="s">
        <v>292</v>
      </c>
      <c r="B71" s="151" t="s">
        <v>146</v>
      </c>
      <c r="C71" s="151" t="s">
        <v>69</v>
      </c>
      <c r="D71" s="36" t="s">
        <v>293</v>
      </c>
      <c r="E71" s="193" t="s">
        <v>71</v>
      </c>
      <c r="F71" s="151" t="s">
        <v>148</v>
      </c>
      <c r="G71" s="151" t="s">
        <v>77</v>
      </c>
      <c r="H71" s="151" t="s">
        <v>148</v>
      </c>
      <c r="I71" s="152"/>
    </row>
    <row r="72" spans="1:9" x14ac:dyDescent="0.2">
      <c r="A72" s="47" t="s">
        <v>294</v>
      </c>
      <c r="B72" s="154" t="s">
        <v>142</v>
      </c>
      <c r="C72" s="154" t="s">
        <v>90</v>
      </c>
      <c r="D72" s="35" t="s">
        <v>262</v>
      </c>
      <c r="E72" s="194" t="s">
        <v>71</v>
      </c>
      <c r="F72" s="154" t="s">
        <v>144</v>
      </c>
      <c r="G72" s="154" t="s">
        <v>77</v>
      </c>
      <c r="H72" s="154" t="s">
        <v>145</v>
      </c>
      <c r="I72" s="155"/>
    </row>
    <row r="73" spans="1:9" x14ac:dyDescent="0.2">
      <c r="A73" s="37" t="s">
        <v>295</v>
      </c>
      <c r="B73" s="42" t="s">
        <v>133</v>
      </c>
      <c r="C73" s="25" t="s">
        <v>134</v>
      </c>
      <c r="D73" s="34" t="s">
        <v>296</v>
      </c>
      <c r="E73" s="13" t="s">
        <v>99</v>
      </c>
      <c r="F73" s="25"/>
      <c r="G73" s="25"/>
      <c r="H73" s="25"/>
      <c r="I73" s="27"/>
    </row>
    <row r="74" spans="1:9" x14ac:dyDescent="0.2">
      <c r="A74" s="37" t="s">
        <v>297</v>
      </c>
      <c r="B74" s="42" t="s">
        <v>127</v>
      </c>
      <c r="C74" s="25" t="s">
        <v>128</v>
      </c>
      <c r="D74" s="34" t="s">
        <v>238</v>
      </c>
      <c r="E74" s="13" t="s">
        <v>99</v>
      </c>
      <c r="F74" s="25"/>
      <c r="G74" s="25"/>
      <c r="H74" s="25"/>
      <c r="I74" s="27"/>
    </row>
  </sheetData>
  <customSheetViews>
    <customSheetView guid="{C845FD7F-3CB2-4CBC-892C-E2474769F660}">
      <selection activeCell="D27" sqref="D27"/>
      <pageMargins left="0" right="0" top="0" bottom="0" header="0" footer="0"/>
      <pageSetup orientation="portrait" horizontalDpi="1200" verticalDpi="1200" r:id="rId1"/>
    </customSheetView>
    <customSheetView guid="{25BFA7C9-9C08-4E2D-B44F-21E683ECAB75}">
      <selection activeCell="D27" sqref="D27"/>
      <pageMargins left="0" right="0" top="0" bottom="0" header="0" footer="0"/>
      <pageSetup orientation="portrait" horizontalDpi="1200" verticalDpi="1200" r:id="rId2"/>
    </customSheetView>
    <customSheetView guid="{EE8DE643-7531-4BA6-A2AE-CA7A0FACFBB5}">
      <selection activeCell="D27" sqref="D27"/>
      <pageMargins left="0" right="0" top="0" bottom="0" header="0" footer="0"/>
      <pageSetup orientation="portrait" horizontalDpi="1200" verticalDpi="1200" r:id="rId3"/>
    </customSheetView>
    <customSheetView guid="{5E8C3AE4-233F-4E25-872C-6621CB9B96CA}">
      <selection activeCell="K13" sqref="K13"/>
      <pageMargins left="0" right="0" top="0" bottom="0" header="0" footer="0"/>
      <pageSetup orientation="portrait" horizontalDpi="1200" verticalDpi="1200" r:id="rId4"/>
    </customSheetView>
    <customSheetView guid="{E5A90478-501D-42C6-86FE-EBC9FB0438FD}">
      <selection activeCell="D18" sqref="D18"/>
      <pageMargins left="0" right="0" top="0" bottom="0" header="0" footer="0"/>
      <pageSetup orientation="portrait" horizontalDpi="1200" verticalDpi="1200" r:id="rId5"/>
    </customSheetView>
  </customSheetViews>
  <mergeCells count="5">
    <mergeCell ref="A3:I3"/>
    <mergeCell ref="A22:I22"/>
    <mergeCell ref="A42:I42"/>
    <mergeCell ref="A51:I51"/>
    <mergeCell ref="A61:I61"/>
  </mergeCells>
  <conditionalFormatting sqref="F5:I21 F24:I41 F44:I50 F53:I60 F63:I70 F73:I74">
    <cfRule type="expression" dxfId="1" priority="16">
      <formula>$E5="No Connection"</formula>
    </cfRule>
  </conditionalFormatting>
  <dataValidations count="10">
    <dataValidation type="list" allowBlank="1" showInputMessage="1" showErrorMessage="1" sqref="F71" xr:uid="{00000000-0002-0000-0500-000000000000}">
      <formula1>function_descriptions</formula1>
    </dataValidation>
    <dataValidation type="list" allowBlank="1" showInputMessage="1" showErrorMessage="1" sqref="H71" xr:uid="{00000000-0002-0000-0500-000001000000}">
      <formula1>Tags</formula1>
    </dataValidation>
    <dataValidation type="list" allowBlank="1" showInputMessage="1" showErrorMessage="1" sqref="E71" xr:uid="{00000000-0002-0000-0500-000002000000}">
      <formula1>ConnectionTypesNoW2W</formula1>
    </dataValidation>
    <dataValidation type="list" allowBlank="1" showInputMessage="1" showErrorMessage="1" sqref="G71" xr:uid="{00000000-0002-0000-0500-000003000000}">
      <formula1>connect_to</formula1>
    </dataValidation>
    <dataValidation type="list" allowBlank="1" showInputMessage="1" showErrorMessage="1" sqref="C71" xr:uid="{00000000-0002-0000-0500-000004000000}">
      <formula1 xml:space="preserve"> Polarity</formula1>
    </dataValidation>
    <dataValidation type="list" allowBlank="1" showInputMessage="1" showErrorMessage="1" sqref="C5 C6:C21 C24:C41 C44:C50 C53:C60 C63:C70 C73:C74" xr:uid="{FB67C62A-0B96-450F-AC88-E8CEBEFBB9BF}">
      <formula1>INDIRECT("PolarityT[Polarity]")</formula1>
    </dataValidation>
    <dataValidation type="list" allowBlank="1" showInputMessage="1" showErrorMessage="1" sqref="E5:E21 E24:E41 E44:E50 E53:E60 E63:E70 E73:E74" xr:uid="{38048A0D-0499-425E-854C-6354EFA539A4}">
      <formula1>INDIRECT("ConnectionTable[Connection]")</formula1>
    </dataValidation>
    <dataValidation type="list" allowBlank="1" showInputMessage="1" showErrorMessage="1" sqref="F5:F21 F24:F41 F44:F50 F53:F60 F63:F70 F73:F74" xr:uid="{4BF7CE92-1E9F-4C51-91FD-231C6216CBA6}">
      <formula1>INDIRECT("Function[Function]")</formula1>
    </dataValidation>
    <dataValidation type="list" allowBlank="1" showInputMessage="1" showErrorMessage="1" sqref="G5:G21 G24:G41 G44:G50 G53:G60 G63:G70 G73:G74" xr:uid="{7550AC0A-0828-4829-AA4A-5601EEA799F5}">
      <formula1>INDIRECT("ConnectTo[Connect To]")</formula1>
    </dataValidation>
    <dataValidation type="list" allowBlank="1" showInputMessage="1" showErrorMessage="1" sqref="H5:H21 H24:H41 H44:H50 H53:H60 H63:H70 H73:H74" xr:uid="{FF30DB9E-C422-427A-ABF3-D02D6D001C27}">
      <formula1>INDIRECT("Tag[Tag]")</formula1>
    </dataValidation>
  </dataValidation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9"/>
  <sheetViews>
    <sheetView tabSelected="1" topLeftCell="A17" zoomScaleNormal="100" workbookViewId="0">
      <selection activeCell="K51" sqref="K51"/>
    </sheetView>
  </sheetViews>
  <sheetFormatPr defaultColWidth="9.109375" defaultRowHeight="14.4" x14ac:dyDescent="0.3"/>
  <cols>
    <col min="1" max="1" width="5" bestFit="1" customWidth="1"/>
    <col min="2" max="3" width="23" customWidth="1"/>
    <col min="4" max="4" width="20.109375" bestFit="1" customWidth="1"/>
    <col min="5" max="5" width="15" style="11" bestFit="1" customWidth="1"/>
    <col min="6" max="6" width="17.6640625" style="11" customWidth="1"/>
    <col min="7" max="7" width="18.6640625" bestFit="1" customWidth="1"/>
    <col min="8" max="8" width="18.6640625" customWidth="1"/>
    <col min="9" max="9" width="40.109375" customWidth="1"/>
    <col min="10" max="10" width="60.5546875" customWidth="1"/>
    <col min="11" max="11" width="5.6640625" customWidth="1"/>
  </cols>
  <sheetData>
    <row r="1" spans="1:13" ht="15.6" x14ac:dyDescent="0.3">
      <c r="A1" s="10" t="s">
        <v>300</v>
      </c>
    </row>
    <row r="2" spans="1:13" ht="9.4499999999999993" customHeight="1" x14ac:dyDescent="0.3">
      <c r="A2" s="11"/>
    </row>
    <row r="3" spans="1:13" s="23" customFormat="1" ht="15.75" customHeight="1" x14ac:dyDescent="0.3">
      <c r="A3" s="242" t="s">
        <v>301</v>
      </c>
      <c r="B3" s="243"/>
      <c r="C3" s="243"/>
      <c r="D3" s="243"/>
      <c r="E3" s="243"/>
      <c r="F3" s="243"/>
      <c r="G3" s="243"/>
      <c r="H3" s="243"/>
      <c r="I3" s="243"/>
      <c r="J3" s="244"/>
    </row>
    <row r="4" spans="1:13" s="23" customFormat="1" ht="11.4" x14ac:dyDescent="0.3">
      <c r="A4" s="17" t="s">
        <v>59</v>
      </c>
      <c r="B4" s="17" t="s">
        <v>60</v>
      </c>
      <c r="C4" s="17" t="s">
        <v>302</v>
      </c>
      <c r="D4" s="17" t="s">
        <v>61</v>
      </c>
      <c r="E4" s="17" t="s">
        <v>62</v>
      </c>
      <c r="F4" s="17" t="s">
        <v>63</v>
      </c>
      <c r="G4" s="17" t="s">
        <v>64</v>
      </c>
      <c r="H4" s="17" t="s">
        <v>65</v>
      </c>
      <c r="I4" s="17" t="s">
        <v>66</v>
      </c>
      <c r="J4" s="17" t="s">
        <v>67</v>
      </c>
    </row>
    <row r="5" spans="1:13" ht="15" customHeight="1" x14ac:dyDescent="0.3">
      <c r="A5" s="41">
        <v>1</v>
      </c>
      <c r="B5" s="43" t="s">
        <v>204</v>
      </c>
      <c r="C5" s="43" t="s">
        <v>204</v>
      </c>
      <c r="D5" s="25"/>
      <c r="E5" s="43" t="s">
        <v>204</v>
      </c>
      <c r="F5" s="13" t="s">
        <v>99</v>
      </c>
      <c r="G5" s="25"/>
      <c r="H5" s="25"/>
      <c r="I5" s="25"/>
      <c r="J5" s="27"/>
    </row>
    <row r="6" spans="1:13" ht="12" customHeight="1" x14ac:dyDescent="0.3">
      <c r="A6" s="41">
        <v>2</v>
      </c>
      <c r="B6" s="50" t="s">
        <v>204</v>
      </c>
      <c r="C6" s="50" t="s">
        <v>303</v>
      </c>
      <c r="D6" s="25" t="s">
        <v>90</v>
      </c>
      <c r="E6" s="50" t="s">
        <v>245</v>
      </c>
      <c r="F6" s="13" t="s">
        <v>71</v>
      </c>
      <c r="G6" s="25" t="s">
        <v>580</v>
      </c>
      <c r="H6" s="25" t="s">
        <v>77</v>
      </c>
      <c r="I6" s="25" t="s">
        <v>145</v>
      </c>
      <c r="J6" s="27"/>
    </row>
    <row r="7" spans="1:13" x14ac:dyDescent="0.3">
      <c r="A7" s="41">
        <v>3</v>
      </c>
      <c r="B7" s="50" t="s">
        <v>304</v>
      </c>
      <c r="C7" s="50" t="s">
        <v>305</v>
      </c>
      <c r="D7" s="25"/>
      <c r="E7" s="50" t="s">
        <v>251</v>
      </c>
      <c r="F7" s="13" t="s">
        <v>99</v>
      </c>
      <c r="G7" s="25"/>
      <c r="H7" s="25"/>
      <c r="I7" s="25"/>
      <c r="J7" s="27"/>
    </row>
    <row r="8" spans="1:13" ht="12" customHeight="1" x14ac:dyDescent="0.3">
      <c r="A8" s="41">
        <v>4</v>
      </c>
      <c r="B8" s="50" t="s">
        <v>304</v>
      </c>
      <c r="C8" s="50" t="s">
        <v>306</v>
      </c>
      <c r="D8" s="25"/>
      <c r="E8" s="50" t="s">
        <v>247</v>
      </c>
      <c r="F8" s="13" t="s">
        <v>99</v>
      </c>
      <c r="G8" s="25"/>
      <c r="H8" s="25"/>
      <c r="I8" s="25"/>
      <c r="J8" s="223"/>
    </row>
    <row r="9" spans="1:13" ht="12" customHeight="1" x14ac:dyDescent="0.3">
      <c r="A9" s="41">
        <v>5</v>
      </c>
      <c r="B9" s="50" t="s">
        <v>204</v>
      </c>
      <c r="C9" s="50" t="s">
        <v>167</v>
      </c>
      <c r="D9" s="25" t="s">
        <v>90</v>
      </c>
      <c r="E9" s="50" t="s">
        <v>262</v>
      </c>
      <c r="F9" s="13" t="s">
        <v>71</v>
      </c>
      <c r="G9" s="25" t="s">
        <v>580</v>
      </c>
      <c r="H9" s="25" t="s">
        <v>77</v>
      </c>
      <c r="I9" s="25" t="s">
        <v>145</v>
      </c>
      <c r="J9" s="27"/>
    </row>
    <row r="10" spans="1:13" ht="12" customHeight="1" x14ac:dyDescent="0.3">
      <c r="A10" s="41">
        <v>6</v>
      </c>
      <c r="B10" s="43" t="s">
        <v>307</v>
      </c>
      <c r="C10" s="43" t="s">
        <v>308</v>
      </c>
      <c r="D10" s="25"/>
      <c r="E10" s="43" t="s">
        <v>266</v>
      </c>
      <c r="F10" s="13" t="s">
        <v>99</v>
      </c>
      <c r="G10" s="25"/>
      <c r="H10" s="25"/>
      <c r="I10" s="25"/>
      <c r="J10" s="223"/>
    </row>
    <row r="11" spans="1:13" ht="12" customHeight="1" x14ac:dyDescent="0.3">
      <c r="A11" s="41">
        <v>7</v>
      </c>
      <c r="B11" s="43" t="s">
        <v>309</v>
      </c>
      <c r="C11" s="50" t="s">
        <v>310</v>
      </c>
      <c r="D11" s="25" t="s">
        <v>90</v>
      </c>
      <c r="E11" s="43" t="s">
        <v>253</v>
      </c>
      <c r="F11" s="13" t="s">
        <v>71</v>
      </c>
      <c r="G11" s="25" t="s">
        <v>310</v>
      </c>
      <c r="H11" s="25" t="s">
        <v>77</v>
      </c>
      <c r="I11" s="25" t="s">
        <v>813</v>
      </c>
      <c r="J11" s="27"/>
    </row>
    <row r="12" spans="1:13" ht="12" customHeight="1" x14ac:dyDescent="0.3">
      <c r="A12" s="41">
        <v>8</v>
      </c>
      <c r="B12" s="43" t="s">
        <v>311</v>
      </c>
      <c r="C12" s="43" t="s">
        <v>312</v>
      </c>
      <c r="D12" s="25" t="s">
        <v>90</v>
      </c>
      <c r="E12" s="43" t="s">
        <v>249</v>
      </c>
      <c r="F12" s="13" t="s">
        <v>71</v>
      </c>
      <c r="G12" s="25" t="s">
        <v>312</v>
      </c>
      <c r="H12" s="25" t="s">
        <v>77</v>
      </c>
      <c r="I12" s="25" t="s">
        <v>574</v>
      </c>
      <c r="J12" s="27"/>
    </row>
    <row r="13" spans="1:13" ht="12" customHeight="1" x14ac:dyDescent="0.3">
      <c r="A13" s="41">
        <v>9</v>
      </c>
      <c r="B13" s="50" t="s">
        <v>304</v>
      </c>
      <c r="C13" s="43" t="s">
        <v>313</v>
      </c>
      <c r="D13" s="25"/>
      <c r="E13" s="43" t="s">
        <v>222</v>
      </c>
      <c r="F13" s="13" t="s">
        <v>99</v>
      </c>
      <c r="G13" s="25"/>
      <c r="H13" s="25"/>
      <c r="I13" s="25"/>
      <c r="J13" s="27"/>
    </row>
    <row r="14" spans="1:13" ht="12" customHeight="1" x14ac:dyDescent="0.3">
      <c r="A14" s="41">
        <v>10</v>
      </c>
      <c r="B14" s="43" t="s">
        <v>314</v>
      </c>
      <c r="C14" s="43" t="s">
        <v>315</v>
      </c>
      <c r="D14" s="25" t="s">
        <v>90</v>
      </c>
      <c r="E14" s="43" t="s">
        <v>260</v>
      </c>
      <c r="F14" s="13" t="s">
        <v>71</v>
      </c>
      <c r="G14" s="25" t="s">
        <v>95</v>
      </c>
      <c r="H14" s="25" t="s">
        <v>77</v>
      </c>
      <c r="I14" s="25" t="s">
        <v>690</v>
      </c>
      <c r="J14" s="27"/>
    </row>
    <row r="15" spans="1:13" s="23" customFormat="1" ht="15.75" customHeight="1" x14ac:dyDescent="0.3">
      <c r="A15" s="242" t="s">
        <v>316</v>
      </c>
      <c r="B15" s="243"/>
      <c r="C15" s="243"/>
      <c r="D15" s="243"/>
      <c r="E15" s="243"/>
      <c r="F15" s="243"/>
      <c r="G15" s="243"/>
      <c r="H15" s="243"/>
      <c r="I15" s="243"/>
      <c r="J15" s="244"/>
      <c r="M15"/>
    </row>
    <row r="16" spans="1:13" s="23" customFormat="1" ht="11.4" x14ac:dyDescent="0.3">
      <c r="A16" s="17" t="s">
        <v>59</v>
      </c>
      <c r="B16" s="17" t="s">
        <v>60</v>
      </c>
      <c r="C16" s="17" t="s">
        <v>302</v>
      </c>
      <c r="D16" s="17" t="s">
        <v>61</v>
      </c>
      <c r="E16" s="17" t="s">
        <v>62</v>
      </c>
      <c r="F16" s="17" t="s">
        <v>63</v>
      </c>
      <c r="G16" s="17" t="s">
        <v>64</v>
      </c>
      <c r="H16" s="17" t="s">
        <v>65</v>
      </c>
      <c r="I16" s="17" t="s">
        <v>66</v>
      </c>
      <c r="J16" s="17" t="s">
        <v>67</v>
      </c>
    </row>
    <row r="17" spans="1:11" ht="12" customHeight="1" x14ac:dyDescent="0.3">
      <c r="A17" s="41">
        <v>1</v>
      </c>
      <c r="B17" s="42" t="s">
        <v>317</v>
      </c>
      <c r="C17" s="42" t="s">
        <v>318</v>
      </c>
      <c r="D17" s="25" t="s">
        <v>134</v>
      </c>
      <c r="E17" s="40" t="s">
        <v>240</v>
      </c>
      <c r="F17" s="13" t="s">
        <v>99</v>
      </c>
      <c r="G17" s="25"/>
      <c r="H17" s="25"/>
      <c r="I17" s="25"/>
      <c r="J17" s="27"/>
      <c r="K17" s="225"/>
    </row>
    <row r="18" spans="1:11" ht="12" customHeight="1" x14ac:dyDescent="0.3">
      <c r="A18" s="41">
        <v>2</v>
      </c>
      <c r="B18" s="42" t="s">
        <v>320</v>
      </c>
      <c r="C18" s="42" t="s">
        <v>318</v>
      </c>
      <c r="D18" s="25" t="s">
        <v>128</v>
      </c>
      <c r="E18" s="40" t="s">
        <v>228</v>
      </c>
      <c r="F18" s="13" t="s">
        <v>71</v>
      </c>
      <c r="G18" s="25" t="s">
        <v>637</v>
      </c>
      <c r="H18" s="25" t="s">
        <v>77</v>
      </c>
      <c r="I18" s="25" t="s">
        <v>595</v>
      </c>
      <c r="J18" s="27"/>
      <c r="K18" s="225"/>
    </row>
    <row r="19" spans="1:11" ht="12" customHeight="1" x14ac:dyDescent="0.3">
      <c r="A19" s="41">
        <v>3</v>
      </c>
      <c r="B19" s="42" t="s">
        <v>321</v>
      </c>
      <c r="C19" s="42" t="s">
        <v>318</v>
      </c>
      <c r="D19" s="25" t="s">
        <v>131</v>
      </c>
      <c r="E19" s="40" t="s">
        <v>322</v>
      </c>
      <c r="F19" s="13" t="s">
        <v>71</v>
      </c>
      <c r="G19" s="25" t="s">
        <v>637</v>
      </c>
      <c r="H19" s="25" t="s">
        <v>77</v>
      </c>
      <c r="I19" s="25" t="s">
        <v>595</v>
      </c>
      <c r="J19" s="27"/>
    </row>
    <row r="20" spans="1:11" ht="12" customHeight="1" x14ac:dyDescent="0.3">
      <c r="A20" s="41">
        <v>4</v>
      </c>
      <c r="B20" s="42" t="s">
        <v>323</v>
      </c>
      <c r="C20" s="42" t="s">
        <v>318</v>
      </c>
      <c r="D20" s="25" t="s">
        <v>134</v>
      </c>
      <c r="E20" s="40" t="s">
        <v>274</v>
      </c>
      <c r="F20" s="13" t="s">
        <v>99</v>
      </c>
      <c r="G20" s="25"/>
      <c r="H20" s="25"/>
      <c r="I20" s="25"/>
      <c r="J20" s="27"/>
    </row>
    <row r="21" spans="1:11" ht="12" customHeight="1" x14ac:dyDescent="0.3">
      <c r="A21" s="41">
        <v>5</v>
      </c>
      <c r="B21" s="42" t="s">
        <v>324</v>
      </c>
      <c r="C21" s="42" t="s">
        <v>318</v>
      </c>
      <c r="D21" s="25" t="s">
        <v>131</v>
      </c>
      <c r="E21" s="40" t="s">
        <v>271</v>
      </c>
      <c r="F21" s="13" t="s">
        <v>99</v>
      </c>
      <c r="G21" s="25"/>
      <c r="H21" s="25"/>
      <c r="I21" s="25"/>
      <c r="J21" s="27"/>
    </row>
    <row r="22" spans="1:11" x14ac:dyDescent="0.3">
      <c r="A22" s="172">
        <v>6</v>
      </c>
      <c r="B22" s="175" t="s">
        <v>325</v>
      </c>
      <c r="C22" s="175" t="s">
        <v>326</v>
      </c>
      <c r="D22" s="154" t="s">
        <v>90</v>
      </c>
      <c r="E22" s="175" t="s">
        <v>262</v>
      </c>
      <c r="F22" s="194" t="s">
        <v>71</v>
      </c>
      <c r="G22" s="154" t="s">
        <v>144</v>
      </c>
      <c r="H22" s="154" t="s">
        <v>77</v>
      </c>
      <c r="I22" s="154" t="s">
        <v>145</v>
      </c>
      <c r="J22" s="155"/>
    </row>
    <row r="23" spans="1:11" x14ac:dyDescent="0.3">
      <c r="A23" s="41">
        <v>7</v>
      </c>
      <c r="B23" s="42" t="s">
        <v>327</v>
      </c>
      <c r="C23" s="42" t="s">
        <v>318</v>
      </c>
      <c r="D23" s="25" t="s">
        <v>128</v>
      </c>
      <c r="E23" s="40" t="s">
        <v>328</v>
      </c>
      <c r="F23" s="13" t="s">
        <v>47</v>
      </c>
      <c r="G23" s="25" t="s">
        <v>102</v>
      </c>
      <c r="H23" s="25" t="s">
        <v>77</v>
      </c>
      <c r="I23" s="25" t="s">
        <v>329</v>
      </c>
      <c r="J23" s="27" t="s">
        <v>962</v>
      </c>
      <c r="K23" s="225"/>
    </row>
    <row r="24" spans="1:11" x14ac:dyDescent="0.3">
      <c r="A24" s="41">
        <v>8</v>
      </c>
      <c r="B24" s="42" t="s">
        <v>330</v>
      </c>
      <c r="C24" s="42" t="s">
        <v>318</v>
      </c>
      <c r="D24" s="25" t="s">
        <v>131</v>
      </c>
      <c r="E24" s="40" t="s">
        <v>188</v>
      </c>
      <c r="F24" s="13" t="s">
        <v>47</v>
      </c>
      <c r="G24" s="25" t="s">
        <v>102</v>
      </c>
      <c r="H24" s="25" t="s">
        <v>77</v>
      </c>
      <c r="I24" s="25" t="s">
        <v>329</v>
      </c>
      <c r="J24" s="27" t="s">
        <v>962</v>
      </c>
      <c r="K24" s="225"/>
    </row>
    <row r="25" spans="1:11" x14ac:dyDescent="0.3">
      <c r="A25" s="41">
        <v>9</v>
      </c>
      <c r="B25" s="42" t="s">
        <v>331</v>
      </c>
      <c r="C25" s="42" t="s">
        <v>318</v>
      </c>
      <c r="D25" s="25" t="s">
        <v>134</v>
      </c>
      <c r="E25" s="40" t="s">
        <v>332</v>
      </c>
      <c r="F25" s="13" t="s">
        <v>99</v>
      </c>
      <c r="G25" s="25"/>
      <c r="H25" s="25"/>
      <c r="I25" s="25"/>
      <c r="J25" s="27"/>
    </row>
    <row r="26" spans="1:11" x14ac:dyDescent="0.3">
      <c r="A26" s="173">
        <v>10</v>
      </c>
      <c r="B26" s="174" t="s">
        <v>148</v>
      </c>
      <c r="C26" s="174" t="s">
        <v>148</v>
      </c>
      <c r="D26" s="151" t="s">
        <v>69</v>
      </c>
      <c r="E26" s="174" t="s">
        <v>333</v>
      </c>
      <c r="F26" s="193" t="s">
        <v>71</v>
      </c>
      <c r="G26" s="151" t="s">
        <v>148</v>
      </c>
      <c r="H26" s="151" t="s">
        <v>77</v>
      </c>
      <c r="I26" s="151" t="s">
        <v>148</v>
      </c>
      <c r="J26" s="152"/>
    </row>
    <row r="27" spans="1:11" x14ac:dyDescent="0.3">
      <c r="A27" s="41">
        <v>11</v>
      </c>
      <c r="B27" s="42" t="s">
        <v>324</v>
      </c>
      <c r="C27" s="42" t="s">
        <v>318</v>
      </c>
      <c r="D27" s="25" t="s">
        <v>131</v>
      </c>
      <c r="E27" s="40" t="s">
        <v>271</v>
      </c>
      <c r="F27" s="13" t="s">
        <v>99</v>
      </c>
      <c r="G27" s="25"/>
      <c r="H27" s="25"/>
      <c r="I27" s="25"/>
      <c r="J27" s="27"/>
    </row>
    <row r="28" spans="1:11" x14ac:dyDescent="0.3">
      <c r="A28" s="172">
        <v>12</v>
      </c>
      <c r="B28" s="175" t="s">
        <v>325</v>
      </c>
      <c r="C28" s="175" t="s">
        <v>326</v>
      </c>
      <c r="D28" s="154" t="s">
        <v>90</v>
      </c>
      <c r="E28" s="175" t="s">
        <v>262</v>
      </c>
      <c r="F28" s="194" t="s">
        <v>71</v>
      </c>
      <c r="G28" s="154" t="s">
        <v>144</v>
      </c>
      <c r="H28" s="154" t="s">
        <v>77</v>
      </c>
      <c r="I28" s="154" t="s">
        <v>145</v>
      </c>
      <c r="J28" s="155"/>
    </row>
    <row r="29" spans="1:11" s="23" customFormat="1" ht="15.75" customHeight="1" x14ac:dyDescent="0.3">
      <c r="A29" s="242" t="s">
        <v>334</v>
      </c>
      <c r="B29" s="243"/>
      <c r="C29" s="243"/>
      <c r="D29" s="243"/>
      <c r="E29" s="243"/>
      <c r="F29" s="243"/>
      <c r="G29" s="243"/>
      <c r="H29" s="243"/>
      <c r="I29" s="243"/>
      <c r="J29" s="244"/>
    </row>
    <row r="30" spans="1:11" s="23" customFormat="1" ht="11.4" x14ac:dyDescent="0.3">
      <c r="A30" s="17" t="s">
        <v>59</v>
      </c>
      <c r="B30" s="17" t="s">
        <v>60</v>
      </c>
      <c r="C30" s="17" t="s">
        <v>302</v>
      </c>
      <c r="D30" s="17" t="s">
        <v>61</v>
      </c>
      <c r="E30" s="17" t="s">
        <v>62</v>
      </c>
      <c r="F30" s="17" t="s">
        <v>63</v>
      </c>
      <c r="G30" s="17" t="s">
        <v>64</v>
      </c>
      <c r="H30" s="17" t="s">
        <v>65</v>
      </c>
      <c r="I30" s="17" t="s">
        <v>66</v>
      </c>
      <c r="J30" s="17" t="s">
        <v>67</v>
      </c>
    </row>
    <row r="31" spans="1:11" x14ac:dyDescent="0.3">
      <c r="A31" s="227">
        <v>1</v>
      </c>
      <c r="B31" s="34" t="s">
        <v>335</v>
      </c>
      <c r="C31" s="34" t="s">
        <v>336</v>
      </c>
      <c r="D31" s="25" t="s">
        <v>69</v>
      </c>
      <c r="E31" s="40" t="s">
        <v>70</v>
      </c>
      <c r="F31" s="13" t="s">
        <v>71</v>
      </c>
      <c r="G31" s="25" t="s">
        <v>76</v>
      </c>
      <c r="H31" s="25" t="s">
        <v>77</v>
      </c>
      <c r="I31" s="25" t="s">
        <v>339</v>
      </c>
      <c r="J31" s="27"/>
      <c r="K31" s="237"/>
    </row>
    <row r="32" spans="1:11" x14ac:dyDescent="0.3">
      <c r="A32" s="227">
        <v>2</v>
      </c>
      <c r="B32" s="233" t="s">
        <v>337</v>
      </c>
      <c r="C32" s="233" t="s">
        <v>338</v>
      </c>
      <c r="D32" s="234" t="s">
        <v>69</v>
      </c>
      <c r="E32" s="233" t="s">
        <v>240</v>
      </c>
      <c r="F32" s="13" t="s">
        <v>71</v>
      </c>
      <c r="G32" s="25" t="s">
        <v>92</v>
      </c>
      <c r="H32" s="25" t="s">
        <v>77</v>
      </c>
      <c r="I32" s="25" t="s">
        <v>319</v>
      </c>
      <c r="J32" s="27"/>
      <c r="K32" s="238"/>
    </row>
    <row r="33" spans="1:11" x14ac:dyDescent="0.3">
      <c r="A33" s="228">
        <v>3</v>
      </c>
      <c r="B33" s="34" t="s">
        <v>340</v>
      </c>
      <c r="C33" s="34" t="s">
        <v>341</v>
      </c>
      <c r="D33" s="25" t="s">
        <v>69</v>
      </c>
      <c r="E33" s="34" t="s">
        <v>194</v>
      </c>
      <c r="F33" s="13" t="s">
        <v>99</v>
      </c>
      <c r="G33" s="25"/>
      <c r="H33" s="25"/>
      <c r="I33" s="25"/>
      <c r="J33" s="27"/>
      <c r="K33" s="236"/>
    </row>
    <row r="34" spans="1:11" x14ac:dyDescent="0.3">
      <c r="A34" s="227">
        <v>4</v>
      </c>
      <c r="B34" s="34" t="s">
        <v>342</v>
      </c>
      <c r="C34" s="34" t="s">
        <v>343</v>
      </c>
      <c r="D34" s="25" t="s">
        <v>69</v>
      </c>
      <c r="E34" s="34" t="s">
        <v>222</v>
      </c>
      <c r="F34" s="13" t="s">
        <v>99</v>
      </c>
      <c r="G34" s="25"/>
      <c r="H34" s="25"/>
      <c r="I34" s="25"/>
      <c r="J34" s="222"/>
      <c r="K34" s="236"/>
    </row>
    <row r="35" spans="1:11" x14ac:dyDescent="0.3">
      <c r="A35" s="227">
        <v>5</v>
      </c>
      <c r="B35" s="43"/>
      <c r="C35" s="34" t="s">
        <v>344</v>
      </c>
      <c r="D35" s="25" t="s">
        <v>69</v>
      </c>
      <c r="E35" s="34" t="s">
        <v>220</v>
      </c>
      <c r="F35" s="13" t="s">
        <v>99</v>
      </c>
      <c r="G35" s="25"/>
      <c r="H35" s="25"/>
      <c r="I35" s="25"/>
      <c r="J35" s="223"/>
      <c r="K35" s="236"/>
    </row>
    <row r="36" spans="1:11" x14ac:dyDescent="0.3">
      <c r="A36" s="227">
        <v>6</v>
      </c>
      <c r="B36" s="34" t="s">
        <v>346</v>
      </c>
      <c r="C36" s="34" t="s">
        <v>347</v>
      </c>
      <c r="D36" s="25" t="s">
        <v>69</v>
      </c>
      <c r="E36" s="34" t="s">
        <v>236</v>
      </c>
      <c r="F36" s="13" t="s">
        <v>99</v>
      </c>
      <c r="G36" s="25"/>
      <c r="H36" s="25"/>
      <c r="I36" s="25"/>
      <c r="J36" s="27"/>
      <c r="K36" s="237"/>
    </row>
    <row r="37" spans="1:11" x14ac:dyDescent="0.3">
      <c r="A37" s="227">
        <v>7</v>
      </c>
      <c r="B37" s="230" t="s">
        <v>346</v>
      </c>
      <c r="C37" s="230" t="s">
        <v>348</v>
      </c>
      <c r="D37" s="231" t="s">
        <v>90</v>
      </c>
      <c r="E37" s="230" t="s">
        <v>271</v>
      </c>
      <c r="F37" s="221" t="s">
        <v>99</v>
      </c>
      <c r="G37" s="25"/>
      <c r="H37" s="25"/>
      <c r="I37" s="25"/>
      <c r="J37" s="27"/>
      <c r="K37" s="238"/>
    </row>
    <row r="38" spans="1:11" x14ac:dyDescent="0.3">
      <c r="A38" s="228">
        <v>8</v>
      </c>
      <c r="B38" s="34" t="s">
        <v>349</v>
      </c>
      <c r="C38" s="34" t="s">
        <v>350</v>
      </c>
      <c r="D38" s="25" t="s">
        <v>90</v>
      </c>
      <c r="E38" s="34" t="s">
        <v>351</v>
      </c>
      <c r="F38" s="13" t="s">
        <v>47</v>
      </c>
      <c r="G38" s="25" t="s">
        <v>957</v>
      </c>
      <c r="H38" s="25" t="s">
        <v>355</v>
      </c>
      <c r="I38" s="25" t="s">
        <v>356</v>
      </c>
      <c r="J38" s="27"/>
      <c r="K38" s="237"/>
    </row>
    <row r="39" spans="1:11" ht="12" customHeight="1" x14ac:dyDescent="0.3">
      <c r="A39" s="227">
        <v>9</v>
      </c>
      <c r="B39" s="224" t="s">
        <v>352</v>
      </c>
      <c r="C39" s="224" t="s">
        <v>353</v>
      </c>
      <c r="D39" s="229" t="s">
        <v>69</v>
      </c>
      <c r="E39" s="224" t="s">
        <v>354</v>
      </c>
      <c r="F39" s="221" t="s">
        <v>47</v>
      </c>
      <c r="G39" s="25" t="s">
        <v>102</v>
      </c>
      <c r="H39" s="25" t="s">
        <v>77</v>
      </c>
      <c r="I39" s="25" t="s">
        <v>329</v>
      </c>
      <c r="J39" s="27" t="s">
        <v>962</v>
      </c>
      <c r="K39" s="237"/>
    </row>
    <row r="40" spans="1:11" x14ac:dyDescent="0.3">
      <c r="A40" s="227">
        <v>10</v>
      </c>
      <c r="B40" s="233" t="s">
        <v>357</v>
      </c>
      <c r="C40" s="233" t="s">
        <v>358</v>
      </c>
      <c r="D40" s="234" t="s">
        <v>69</v>
      </c>
      <c r="E40" s="233" t="s">
        <v>359</v>
      </c>
      <c r="F40" s="221" t="s">
        <v>47</v>
      </c>
      <c r="G40" s="25" t="s">
        <v>763</v>
      </c>
      <c r="H40" s="25" t="s">
        <v>355</v>
      </c>
      <c r="I40" s="25"/>
      <c r="J40" s="27" t="s">
        <v>966</v>
      </c>
      <c r="K40" s="237"/>
    </row>
    <row r="41" spans="1:11" x14ac:dyDescent="0.3">
      <c r="A41" s="228">
        <v>11</v>
      </c>
      <c r="B41" s="233" t="s">
        <v>361</v>
      </c>
      <c r="C41" s="233" t="s">
        <v>361</v>
      </c>
      <c r="D41" s="234" t="s">
        <v>90</v>
      </c>
      <c r="E41" s="233" t="s">
        <v>277</v>
      </c>
      <c r="F41" s="13" t="s">
        <v>99</v>
      </c>
      <c r="G41" s="25"/>
      <c r="H41" s="25"/>
      <c r="I41" s="25"/>
      <c r="J41" s="27"/>
      <c r="K41" s="237"/>
    </row>
    <row r="42" spans="1:11" x14ac:dyDescent="0.3">
      <c r="A42" s="227">
        <v>12</v>
      </c>
      <c r="B42" s="43" t="s">
        <v>167</v>
      </c>
      <c r="C42" s="43" t="s">
        <v>362</v>
      </c>
      <c r="D42" s="232" t="s">
        <v>90</v>
      </c>
      <c r="E42" s="43" t="s">
        <v>260</v>
      </c>
      <c r="F42" s="13" t="s">
        <v>99</v>
      </c>
      <c r="G42" s="25"/>
      <c r="H42" s="25"/>
      <c r="I42" s="25"/>
      <c r="J42" s="27"/>
    </row>
    <row r="43" spans="1:11" x14ac:dyDescent="0.3">
      <c r="A43" s="227">
        <v>13</v>
      </c>
      <c r="B43" s="43" t="s">
        <v>363</v>
      </c>
      <c r="C43" s="43" t="s">
        <v>364</v>
      </c>
      <c r="D43" s="232" t="s">
        <v>90</v>
      </c>
      <c r="E43" s="43" t="s">
        <v>253</v>
      </c>
      <c r="F43" s="13" t="s">
        <v>99</v>
      </c>
      <c r="G43" s="25"/>
      <c r="H43" s="25"/>
      <c r="I43" s="25"/>
      <c r="J43" s="27"/>
    </row>
    <row r="44" spans="1:11" x14ac:dyDescent="0.3">
      <c r="A44" s="228">
        <v>14</v>
      </c>
      <c r="B44" s="43" t="s">
        <v>365</v>
      </c>
      <c r="C44" s="43" t="s">
        <v>366</v>
      </c>
      <c r="D44" s="232" t="s">
        <v>90</v>
      </c>
      <c r="E44" s="43" t="s">
        <v>238</v>
      </c>
      <c r="F44" s="13" t="s">
        <v>99</v>
      </c>
      <c r="G44" s="25"/>
      <c r="H44" s="25"/>
      <c r="I44" s="25"/>
      <c r="J44" s="27"/>
    </row>
    <row r="45" spans="1:11" x14ac:dyDescent="0.3">
      <c r="A45" s="228">
        <v>15</v>
      </c>
      <c r="B45" s="43" t="s">
        <v>367</v>
      </c>
      <c r="C45" s="43" t="s">
        <v>367</v>
      </c>
      <c r="D45" s="232" t="s">
        <v>69</v>
      </c>
      <c r="E45" s="43" t="s">
        <v>368</v>
      </c>
      <c r="F45" s="13" t="s">
        <v>99</v>
      </c>
      <c r="G45" s="25"/>
      <c r="H45" s="25"/>
      <c r="I45" s="25"/>
      <c r="J45" s="27"/>
    </row>
    <row r="46" spans="1:11" x14ac:dyDescent="0.3">
      <c r="A46" s="228">
        <v>16</v>
      </c>
      <c r="B46" s="43" t="s">
        <v>954</v>
      </c>
      <c r="C46" s="43" t="s">
        <v>955</v>
      </c>
      <c r="D46" s="232" t="s">
        <v>69</v>
      </c>
      <c r="E46" s="43" t="s">
        <v>370</v>
      </c>
      <c r="F46" s="13" t="s">
        <v>99</v>
      </c>
      <c r="G46" s="25"/>
      <c r="H46" s="25"/>
      <c r="I46" s="25"/>
      <c r="J46" s="27"/>
    </row>
    <row r="47" spans="1:11" x14ac:dyDescent="0.3">
      <c r="A47" s="228">
        <v>17</v>
      </c>
      <c r="B47" s="43" t="s">
        <v>677</v>
      </c>
      <c r="C47" s="43" t="s">
        <v>372</v>
      </c>
      <c r="D47" s="232" t="s">
        <v>69</v>
      </c>
      <c r="E47" s="43" t="s">
        <v>210</v>
      </c>
      <c r="F47" s="13" t="s">
        <v>99</v>
      </c>
      <c r="G47" s="25"/>
      <c r="H47" s="25"/>
      <c r="I47" s="25"/>
      <c r="J47" s="27"/>
    </row>
    <row r="48" spans="1:11" x14ac:dyDescent="0.3">
      <c r="A48" s="228">
        <v>18</v>
      </c>
      <c r="B48" s="43" t="s">
        <v>956</v>
      </c>
      <c r="C48" s="43" t="s">
        <v>374</v>
      </c>
      <c r="D48" s="232" t="s">
        <v>90</v>
      </c>
      <c r="E48" s="43" t="s">
        <v>184</v>
      </c>
      <c r="F48" s="13" t="s">
        <v>99</v>
      </c>
      <c r="G48" s="25"/>
      <c r="H48" s="25"/>
      <c r="I48" s="25"/>
      <c r="J48" s="27"/>
    </row>
    <row r="49" spans="1:11" x14ac:dyDescent="0.3">
      <c r="A49" s="228">
        <v>19</v>
      </c>
      <c r="B49" s="43" t="s">
        <v>155</v>
      </c>
      <c r="C49" s="43" t="s">
        <v>375</v>
      </c>
      <c r="D49" s="232" t="s">
        <v>69</v>
      </c>
      <c r="E49" s="43" t="s">
        <v>322</v>
      </c>
      <c r="F49" s="13" t="s">
        <v>99</v>
      </c>
      <c r="G49" s="25"/>
      <c r="H49" s="25"/>
      <c r="I49" s="25"/>
      <c r="J49" s="27"/>
    </row>
    <row r="50" spans="1:11" ht="12" customHeight="1" x14ac:dyDescent="0.3">
      <c r="A50" s="228">
        <v>20</v>
      </c>
      <c r="B50" s="43" t="s">
        <v>363</v>
      </c>
      <c r="C50" s="43" t="s">
        <v>364</v>
      </c>
      <c r="D50" s="232" t="s">
        <v>69</v>
      </c>
      <c r="E50" s="43" t="s">
        <v>266</v>
      </c>
      <c r="F50" s="13" t="s">
        <v>99</v>
      </c>
      <c r="G50" s="25"/>
      <c r="H50" s="25"/>
      <c r="I50" s="25"/>
      <c r="J50" s="27"/>
    </row>
    <row r="51" spans="1:11" ht="12" customHeight="1" x14ac:dyDescent="0.3">
      <c r="A51" s="228">
        <v>21</v>
      </c>
      <c r="B51" s="233" t="s">
        <v>376</v>
      </c>
      <c r="C51" s="233" t="s">
        <v>377</v>
      </c>
      <c r="D51" s="234" t="s">
        <v>69</v>
      </c>
      <c r="E51" s="233" t="s">
        <v>378</v>
      </c>
      <c r="F51" s="13" t="s">
        <v>99</v>
      </c>
      <c r="G51" s="25"/>
      <c r="H51" s="25"/>
      <c r="I51" s="25"/>
      <c r="J51" s="27"/>
    </row>
    <row r="52" spans="1:11" x14ac:dyDescent="0.3">
      <c r="A52" s="227">
        <v>22</v>
      </c>
      <c r="B52" s="233" t="s">
        <v>381</v>
      </c>
      <c r="C52" s="233" t="s">
        <v>381</v>
      </c>
      <c r="D52" s="234" t="s">
        <v>85</v>
      </c>
      <c r="E52" s="233" t="s">
        <v>216</v>
      </c>
      <c r="F52" s="13" t="s">
        <v>99</v>
      </c>
      <c r="G52" s="25"/>
      <c r="H52" s="25"/>
      <c r="I52" s="25"/>
      <c r="J52" s="27"/>
    </row>
    <row r="53" spans="1:11" s="23" customFormat="1" ht="15.75" customHeight="1" x14ac:dyDescent="0.3">
      <c r="A53" s="242" t="s">
        <v>382</v>
      </c>
      <c r="B53" s="243"/>
      <c r="C53" s="243"/>
      <c r="D53" s="243"/>
      <c r="E53" s="243"/>
      <c r="F53" s="243"/>
      <c r="G53" s="243"/>
      <c r="H53" s="243"/>
      <c r="I53" s="243"/>
      <c r="J53" s="244"/>
    </row>
    <row r="54" spans="1:11" s="23" customFormat="1" ht="11.4" x14ac:dyDescent="0.3">
      <c r="A54" s="17" t="s">
        <v>59</v>
      </c>
      <c r="B54" s="17" t="s">
        <v>60</v>
      </c>
      <c r="C54" s="17" t="s">
        <v>302</v>
      </c>
      <c r="D54" s="17" t="s">
        <v>61</v>
      </c>
      <c r="E54" s="17" t="s">
        <v>62</v>
      </c>
      <c r="F54" s="17" t="s">
        <v>63</v>
      </c>
      <c r="G54" s="17" t="s">
        <v>64</v>
      </c>
      <c r="H54" s="17" t="s">
        <v>65</v>
      </c>
      <c r="I54" s="17" t="s">
        <v>66</v>
      </c>
      <c r="J54" s="17" t="s">
        <v>67</v>
      </c>
    </row>
    <row r="55" spans="1:11" ht="15" customHeight="1" x14ac:dyDescent="0.3">
      <c r="A55" s="41">
        <v>1</v>
      </c>
      <c r="B55" s="43" t="s">
        <v>383</v>
      </c>
      <c r="C55" s="43" t="s">
        <v>383</v>
      </c>
      <c r="D55" s="25" t="s">
        <v>181</v>
      </c>
      <c r="E55" s="43" t="s">
        <v>185</v>
      </c>
      <c r="F55" s="13" t="s">
        <v>71</v>
      </c>
      <c r="G55" s="25" t="s">
        <v>122</v>
      </c>
      <c r="H55" s="25" t="s">
        <v>77</v>
      </c>
      <c r="I55" s="25" t="s">
        <v>386</v>
      </c>
      <c r="J55" s="27"/>
      <c r="K55" s="226"/>
    </row>
    <row r="56" spans="1:11" x14ac:dyDescent="0.3">
      <c r="A56" s="41">
        <v>2</v>
      </c>
      <c r="B56" s="43" t="s">
        <v>385</v>
      </c>
      <c r="C56" s="43" t="s">
        <v>385</v>
      </c>
      <c r="D56" s="25" t="s">
        <v>181</v>
      </c>
      <c r="E56" s="43" t="s">
        <v>186</v>
      </c>
      <c r="F56" s="13" t="s">
        <v>71</v>
      </c>
      <c r="G56" s="25" t="s">
        <v>119</v>
      </c>
      <c r="H56" s="25" t="s">
        <v>77</v>
      </c>
      <c r="I56" s="25" t="s">
        <v>384</v>
      </c>
      <c r="J56" s="27"/>
      <c r="K56" s="226"/>
    </row>
    <row r="57" spans="1:11" ht="15" customHeight="1" x14ac:dyDescent="0.3">
      <c r="A57" s="41">
        <v>3</v>
      </c>
      <c r="B57" s="43" t="s">
        <v>387</v>
      </c>
      <c r="C57" s="43" t="s">
        <v>387</v>
      </c>
      <c r="D57" s="25" t="s">
        <v>181</v>
      </c>
      <c r="E57" s="43" t="s">
        <v>190</v>
      </c>
      <c r="F57" s="13" t="s">
        <v>99</v>
      </c>
      <c r="G57" s="25"/>
      <c r="H57" s="25"/>
      <c r="I57" s="25"/>
      <c r="J57" s="27"/>
    </row>
    <row r="58" spans="1:11" x14ac:dyDescent="0.3">
      <c r="A58" s="41">
        <v>4</v>
      </c>
      <c r="B58" s="43" t="s">
        <v>388</v>
      </c>
      <c r="C58" s="43" t="s">
        <v>388</v>
      </c>
      <c r="D58" s="25" t="s">
        <v>181</v>
      </c>
      <c r="E58" s="43" t="s">
        <v>189</v>
      </c>
      <c r="F58" s="13" t="s">
        <v>99</v>
      </c>
      <c r="G58" s="25"/>
      <c r="H58" s="25"/>
      <c r="I58" s="25"/>
      <c r="J58" s="27"/>
    </row>
    <row r="59" spans="1:11" x14ac:dyDescent="0.3">
      <c r="A59" s="41">
        <v>5</v>
      </c>
      <c r="B59" s="43" t="s">
        <v>389</v>
      </c>
      <c r="C59" s="43" t="s">
        <v>389</v>
      </c>
      <c r="D59" s="25" t="s">
        <v>181</v>
      </c>
      <c r="E59" s="43" t="s">
        <v>188</v>
      </c>
      <c r="F59" s="13" t="s">
        <v>99</v>
      </c>
      <c r="G59" s="25"/>
      <c r="H59" s="25"/>
      <c r="I59" s="25"/>
      <c r="J59" s="27"/>
    </row>
    <row r="60" spans="1:11" ht="22.8" x14ac:dyDescent="0.3">
      <c r="A60" s="41">
        <v>6</v>
      </c>
      <c r="B60" s="43" t="s">
        <v>390</v>
      </c>
      <c r="C60" s="43" t="s">
        <v>390</v>
      </c>
      <c r="D60" s="25" t="s">
        <v>97</v>
      </c>
      <c r="E60" s="43" t="s">
        <v>179</v>
      </c>
      <c r="F60" s="13" t="s">
        <v>99</v>
      </c>
      <c r="G60" s="25"/>
      <c r="H60" s="25"/>
      <c r="I60" s="25"/>
      <c r="J60" s="27" t="s">
        <v>967</v>
      </c>
      <c r="K60" s="226"/>
    </row>
    <row r="61" spans="1:11" x14ac:dyDescent="0.3">
      <c r="A61" s="41">
        <v>7</v>
      </c>
      <c r="B61" s="43" t="s">
        <v>106</v>
      </c>
      <c r="C61" s="43" t="s">
        <v>106</v>
      </c>
      <c r="D61" s="25" t="s">
        <v>181</v>
      </c>
      <c r="E61" s="43" t="s">
        <v>184</v>
      </c>
      <c r="F61" s="13" t="s">
        <v>47</v>
      </c>
      <c r="G61" s="25" t="s">
        <v>102</v>
      </c>
      <c r="H61" s="25" t="s">
        <v>77</v>
      </c>
      <c r="I61" s="25" t="s">
        <v>329</v>
      </c>
      <c r="J61" s="27" t="s">
        <v>962</v>
      </c>
      <c r="K61" s="226"/>
    </row>
    <row r="62" spans="1:11" x14ac:dyDescent="0.3">
      <c r="A62" s="41">
        <v>8</v>
      </c>
      <c r="B62" s="43" t="s">
        <v>103</v>
      </c>
      <c r="C62" s="43" t="s">
        <v>103</v>
      </c>
      <c r="D62" s="25" t="s">
        <v>181</v>
      </c>
      <c r="E62" s="43" t="s">
        <v>182</v>
      </c>
      <c r="F62" s="13" t="s">
        <v>99</v>
      </c>
      <c r="G62" s="25"/>
      <c r="H62" s="25"/>
      <c r="I62" s="25"/>
      <c r="J62" s="196"/>
      <c r="K62" s="226"/>
    </row>
    <row r="63" spans="1:11" s="23" customFormat="1" ht="15.75" customHeight="1" x14ac:dyDescent="0.3">
      <c r="A63" s="242" t="s">
        <v>392</v>
      </c>
      <c r="B63" s="243"/>
      <c r="C63" s="243"/>
      <c r="D63" s="243"/>
      <c r="E63" s="243"/>
      <c r="F63" s="243"/>
      <c r="G63" s="243"/>
      <c r="H63" s="243"/>
      <c r="I63" s="243"/>
      <c r="J63" s="197"/>
    </row>
    <row r="64" spans="1:11" x14ac:dyDescent="0.3">
      <c r="A64" s="241" t="s">
        <v>60</v>
      </c>
      <c r="B64" s="241"/>
      <c r="C64" s="241"/>
      <c r="D64" s="241"/>
      <c r="E64" s="17" t="s">
        <v>61</v>
      </c>
      <c r="F64" s="17" t="s">
        <v>63</v>
      </c>
      <c r="G64" s="245" t="s">
        <v>64</v>
      </c>
      <c r="H64" s="245"/>
      <c r="I64" s="17" t="s">
        <v>67</v>
      </c>
    </row>
    <row r="65" spans="1:9" ht="15" customHeight="1" x14ac:dyDescent="0.3">
      <c r="A65" s="239" t="s">
        <v>393</v>
      </c>
      <c r="B65" s="239"/>
      <c r="C65" s="239"/>
      <c r="D65" s="239"/>
      <c r="E65" s="25"/>
      <c r="F65" s="13" t="s">
        <v>99</v>
      </c>
      <c r="G65" s="240"/>
      <c r="H65" s="240"/>
      <c r="I65" s="27"/>
    </row>
    <row r="66" spans="1:9" x14ac:dyDescent="0.3">
      <c r="A66" s="239" t="s">
        <v>394</v>
      </c>
      <c r="B66" s="239"/>
      <c r="C66" s="239"/>
      <c r="D66" s="239"/>
      <c r="E66" s="25"/>
      <c r="F66" s="13" t="s">
        <v>99</v>
      </c>
      <c r="G66" s="240"/>
      <c r="H66" s="240"/>
      <c r="I66" s="27"/>
    </row>
    <row r="67" spans="1:9" x14ac:dyDescent="0.3">
      <c r="A67" s="239" t="s">
        <v>395</v>
      </c>
      <c r="B67" s="239"/>
      <c r="C67" s="239"/>
      <c r="D67" s="239"/>
      <c r="E67" s="25"/>
      <c r="F67" s="13" t="s">
        <v>99</v>
      </c>
      <c r="G67" s="240"/>
      <c r="H67" s="240"/>
      <c r="I67" s="27"/>
    </row>
    <row r="68" spans="1:9" x14ac:dyDescent="0.3">
      <c r="A68" s="239" t="s">
        <v>396</v>
      </c>
      <c r="B68" s="239"/>
      <c r="C68" s="239"/>
      <c r="D68" s="239"/>
      <c r="E68" s="25"/>
      <c r="F68" s="13" t="s">
        <v>99</v>
      </c>
      <c r="G68" s="240"/>
      <c r="H68" s="240"/>
      <c r="I68" s="27"/>
    </row>
    <row r="69" spans="1:9" x14ac:dyDescent="0.3">
      <c r="A69" s="239" t="s">
        <v>397</v>
      </c>
      <c r="B69" s="239"/>
      <c r="C69" s="239"/>
      <c r="D69" s="239"/>
      <c r="E69" s="25" t="s">
        <v>90</v>
      </c>
      <c r="F69" s="13" t="s">
        <v>71</v>
      </c>
      <c r="G69" s="240" t="s">
        <v>144</v>
      </c>
      <c r="H69" s="240"/>
      <c r="I69" s="27" t="s">
        <v>398</v>
      </c>
    </row>
  </sheetData>
  <mergeCells count="17">
    <mergeCell ref="A3:J3"/>
    <mergeCell ref="A15:J15"/>
    <mergeCell ref="A29:J29"/>
    <mergeCell ref="A53:J53"/>
    <mergeCell ref="G64:H64"/>
    <mergeCell ref="A63:I63"/>
    <mergeCell ref="A68:D68"/>
    <mergeCell ref="G68:H68"/>
    <mergeCell ref="A69:D69"/>
    <mergeCell ref="G69:H69"/>
    <mergeCell ref="A64:D64"/>
    <mergeCell ref="A65:D65"/>
    <mergeCell ref="G65:H65"/>
    <mergeCell ref="A66:D66"/>
    <mergeCell ref="G66:H66"/>
    <mergeCell ref="A67:D67"/>
    <mergeCell ref="G67:H67"/>
  </mergeCells>
  <conditionalFormatting sqref="G5:J14 G17:J28 G31:J52 G55:J62 G65:I69">
    <cfRule type="expression" dxfId="0" priority="45">
      <formula>$F5="No Connection"</formula>
    </cfRule>
  </conditionalFormatting>
  <dataValidations count="6">
    <dataValidation type="list" allowBlank="1" showInputMessage="1" showErrorMessage="1" sqref="G65:H69" xr:uid="{00000000-0002-0000-0600-000004000000}">
      <formula1>function_descriptions</formula1>
    </dataValidation>
    <dataValidation type="list" allowBlank="1" showInputMessage="1" showErrorMessage="1" sqref="I5:I14 I55:I62 I31:I52 I17:I21 I23:I25 I27" xr:uid="{9DD451A0-512D-40E9-8DD5-EA9D0CE487F8}">
      <formula1>INDIRECT("Tag[Tag]")</formula1>
    </dataValidation>
    <dataValidation type="list" allowBlank="1" showInputMessage="1" showErrorMessage="1" sqref="G5:G14 G55:G62 G31:G52 G17:G21 G23:G25 G27" xr:uid="{A4A3F0A9-F569-46D4-BE5B-713DA5758B99}">
      <formula1>INDIRECT("Function[Function]")</formula1>
    </dataValidation>
    <dataValidation type="list" allowBlank="1" showInputMessage="1" showErrorMessage="1" sqref="H5:H14 H55:H62 H31:H52 H17:H21 H23:H25 H27" xr:uid="{6AB03DC4-489D-49A4-86F4-A55653454873}">
      <formula1>INDIRECT("ConnectTo[Connect To]")</formula1>
    </dataValidation>
    <dataValidation type="list" allowBlank="1" showInputMessage="1" showErrorMessage="1" sqref="F5:F14 F65:F69 F31:F52 F55:F62 F17:F21 F23:F25 F27" xr:uid="{11DEE24F-B878-401B-9BC9-FC3AD02E58D4}">
      <formula1>INDIRECT("ConnectionTable[Connection]")</formula1>
    </dataValidation>
    <dataValidation type="list" allowBlank="1" showInputMessage="1" showErrorMessage="1" sqref="D5:D14 E65:E69 D31:D52 D55:D62 D17:D21 D23:D25 D27" xr:uid="{7FDA1A1F-4A95-4541-9851-34F43572AB98}">
      <formula1>INDIRECT("PolarityT[Polarity]")</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C77"/>
  <sheetViews>
    <sheetView workbookViewId="0">
      <pane ySplit="1" topLeftCell="A2" activePane="bottomLeft" state="frozen"/>
      <selection pane="bottomLeft" activeCell="D28" sqref="D28"/>
    </sheetView>
  </sheetViews>
  <sheetFormatPr defaultColWidth="9.109375" defaultRowHeight="14.4" x14ac:dyDescent="0.3"/>
  <cols>
    <col min="1" max="1" width="31.109375" style="12" bestFit="1" customWidth="1"/>
    <col min="2" max="2" width="41.6640625" style="12" bestFit="1" customWidth="1"/>
    <col min="3" max="3" width="44.109375" style="12" customWidth="1"/>
    <col min="4" max="4" width="39.6640625" style="12" bestFit="1" customWidth="1"/>
    <col min="5" max="5" width="29.33203125" style="12" customWidth="1"/>
    <col min="6" max="16384" width="9.109375" style="12"/>
  </cols>
  <sheetData>
    <row r="1" spans="1:3" s="14" customFormat="1" ht="15.6" x14ac:dyDescent="0.3">
      <c r="A1" s="260" t="s">
        <v>399</v>
      </c>
      <c r="B1" s="260"/>
      <c r="C1" s="260"/>
    </row>
    <row r="2" spans="1:3" customFormat="1" x14ac:dyDescent="0.3">
      <c r="A2" s="261" t="s">
        <v>400</v>
      </c>
      <c r="B2" s="261"/>
      <c r="C2" s="261"/>
    </row>
    <row r="3" spans="1:3" x14ac:dyDescent="0.3">
      <c r="A3" s="156" t="s">
        <v>401</v>
      </c>
      <c r="B3" s="157" t="s">
        <v>402</v>
      </c>
      <c r="C3" s="156" t="s">
        <v>403</v>
      </c>
    </row>
    <row r="4" spans="1:3" ht="15" customHeight="1" x14ac:dyDescent="0.3">
      <c r="A4" s="258" t="s">
        <v>404</v>
      </c>
      <c r="B4" s="258"/>
      <c r="C4" s="258"/>
    </row>
    <row r="5" spans="1:3" ht="43.2" x14ac:dyDescent="0.3">
      <c r="A5" s="170" t="s">
        <v>405</v>
      </c>
      <c r="B5" s="31" t="s">
        <v>406</v>
      </c>
      <c r="C5" s="158" t="s">
        <v>407</v>
      </c>
    </row>
    <row r="6" spans="1:3" ht="28.8" x14ac:dyDescent="0.3">
      <c r="A6" s="159" t="s">
        <v>408</v>
      </c>
      <c r="B6" s="31" t="s">
        <v>409</v>
      </c>
      <c r="C6" s="158" t="s">
        <v>410</v>
      </c>
    </row>
    <row r="7" spans="1:3" x14ac:dyDescent="0.3">
      <c r="A7" s="163" t="s">
        <v>411</v>
      </c>
      <c r="B7" s="31" t="s">
        <v>412</v>
      </c>
      <c r="C7" s="158" t="s">
        <v>413</v>
      </c>
    </row>
    <row r="8" spans="1:3" ht="43.2" x14ac:dyDescent="0.3">
      <c r="A8" s="160" t="s">
        <v>414</v>
      </c>
      <c r="B8" s="30" t="s">
        <v>415</v>
      </c>
      <c r="C8" s="158" t="s">
        <v>416</v>
      </c>
    </row>
    <row r="9" spans="1:3" ht="43.2" x14ac:dyDescent="0.3">
      <c r="A9" s="162" t="s">
        <v>417</v>
      </c>
      <c r="B9" s="31" t="s">
        <v>418</v>
      </c>
      <c r="C9" s="158" t="s">
        <v>419</v>
      </c>
    </row>
    <row r="10" spans="1:3" x14ac:dyDescent="0.3">
      <c r="A10" s="159" t="s">
        <v>420</v>
      </c>
      <c r="B10" s="31" t="s">
        <v>421</v>
      </c>
      <c r="C10" s="158" t="s">
        <v>421</v>
      </c>
    </row>
    <row r="11" spans="1:3" x14ac:dyDescent="0.3">
      <c r="A11" s="163" t="s">
        <v>422</v>
      </c>
      <c r="B11" s="31" t="s">
        <v>423</v>
      </c>
      <c r="C11" s="158" t="s">
        <v>424</v>
      </c>
    </row>
    <row r="12" spans="1:3" x14ac:dyDescent="0.3">
      <c r="A12" s="162" t="s">
        <v>425</v>
      </c>
      <c r="B12" s="31" t="s">
        <v>426</v>
      </c>
      <c r="C12" s="158" t="s">
        <v>424</v>
      </c>
    </row>
    <row r="13" spans="1:3" ht="43.2" x14ac:dyDescent="0.3">
      <c r="A13" s="162" t="s">
        <v>427</v>
      </c>
      <c r="B13" s="31" t="s">
        <v>428</v>
      </c>
      <c r="C13" s="158" t="s">
        <v>429</v>
      </c>
    </row>
    <row r="14" spans="1:3" ht="28.8" x14ac:dyDescent="0.3">
      <c r="A14" s="163" t="s">
        <v>430</v>
      </c>
      <c r="B14" s="31" t="s">
        <v>431</v>
      </c>
      <c r="C14" s="158" t="s">
        <v>424</v>
      </c>
    </row>
    <row r="15" spans="1:3" ht="28.8" x14ac:dyDescent="0.3">
      <c r="A15" s="162" t="s">
        <v>432</v>
      </c>
      <c r="B15" s="31" t="s">
        <v>433</v>
      </c>
      <c r="C15" s="158" t="s">
        <v>424</v>
      </c>
    </row>
    <row r="16" spans="1:3" ht="15" customHeight="1" x14ac:dyDescent="0.3">
      <c r="A16" s="258" t="s">
        <v>434</v>
      </c>
      <c r="B16" s="258"/>
      <c r="C16" s="258"/>
    </row>
    <row r="17" spans="1:3" ht="72" x14ac:dyDescent="0.3">
      <c r="A17" s="164" t="s">
        <v>435</v>
      </c>
      <c r="B17" s="30" t="s">
        <v>436</v>
      </c>
      <c r="C17" s="161" t="s">
        <v>437</v>
      </c>
    </row>
    <row r="18" spans="1:3" ht="28.8" x14ac:dyDescent="0.3">
      <c r="A18" s="164" t="s">
        <v>435</v>
      </c>
      <c r="B18" s="30" t="s">
        <v>438</v>
      </c>
      <c r="C18" s="161" t="s">
        <v>439</v>
      </c>
    </row>
    <row r="19" spans="1:3" ht="72" x14ac:dyDescent="0.3">
      <c r="A19" s="159" t="s">
        <v>440</v>
      </c>
      <c r="B19" s="30" t="s">
        <v>441</v>
      </c>
      <c r="C19" s="161" t="s">
        <v>442</v>
      </c>
    </row>
    <row r="20" spans="1:3" ht="57.6" x14ac:dyDescent="0.3">
      <c r="A20" s="159" t="s">
        <v>443</v>
      </c>
      <c r="B20" s="30" t="s">
        <v>444</v>
      </c>
      <c r="C20" s="161" t="s">
        <v>445</v>
      </c>
    </row>
    <row r="21" spans="1:3" ht="43.2" x14ac:dyDescent="0.3">
      <c r="A21" s="159" t="s">
        <v>446</v>
      </c>
      <c r="B21" s="30" t="s">
        <v>447</v>
      </c>
      <c r="C21" s="161" t="s">
        <v>448</v>
      </c>
    </row>
    <row r="22" spans="1:3" ht="28.8" x14ac:dyDescent="0.3">
      <c r="A22" s="159" t="s">
        <v>449</v>
      </c>
      <c r="B22" s="30" t="s">
        <v>450</v>
      </c>
      <c r="C22" s="161" t="s">
        <v>451</v>
      </c>
    </row>
    <row r="23" spans="1:3" ht="28.8" x14ac:dyDescent="0.3">
      <c r="A23" s="159" t="s">
        <v>452</v>
      </c>
      <c r="B23" s="30" t="s">
        <v>453</v>
      </c>
      <c r="C23" s="161" t="s">
        <v>454</v>
      </c>
    </row>
    <row r="24" spans="1:3" ht="28.8" x14ac:dyDescent="0.3">
      <c r="A24" s="159" t="s">
        <v>455</v>
      </c>
      <c r="B24" s="30" t="s">
        <v>456</v>
      </c>
      <c r="C24" s="161" t="s">
        <v>457</v>
      </c>
    </row>
    <row r="25" spans="1:3" x14ac:dyDescent="0.3">
      <c r="A25" s="159" t="s">
        <v>458</v>
      </c>
      <c r="B25" s="31" t="s">
        <v>413</v>
      </c>
      <c r="C25" s="158" t="s">
        <v>413</v>
      </c>
    </row>
    <row r="26" spans="1:3" x14ac:dyDescent="0.3">
      <c r="A26" s="159" t="s">
        <v>459</v>
      </c>
      <c r="B26" s="30" t="s">
        <v>460</v>
      </c>
      <c r="C26" s="161" t="s">
        <v>460</v>
      </c>
    </row>
    <row r="27" spans="1:3" x14ac:dyDescent="0.3">
      <c r="A27" s="159" t="s">
        <v>461</v>
      </c>
      <c r="B27" s="30" t="s">
        <v>462</v>
      </c>
      <c r="C27" s="161" t="s">
        <v>462</v>
      </c>
    </row>
    <row r="28" spans="1:3" ht="43.2" x14ac:dyDescent="0.3">
      <c r="A28" s="159" t="s">
        <v>463</v>
      </c>
      <c r="B28" s="30" t="s">
        <v>464</v>
      </c>
      <c r="C28" s="161" t="s">
        <v>465</v>
      </c>
    </row>
    <row r="29" spans="1:3" ht="28.8" x14ac:dyDescent="0.3">
      <c r="A29" s="159" t="s">
        <v>466</v>
      </c>
      <c r="B29" s="30" t="s">
        <v>467</v>
      </c>
      <c r="C29" s="161" t="s">
        <v>468</v>
      </c>
    </row>
    <row r="30" spans="1:3" ht="30.75" customHeight="1" x14ac:dyDescent="0.3">
      <c r="A30" s="258" t="s">
        <v>469</v>
      </c>
      <c r="B30" s="258"/>
      <c r="C30" s="258"/>
    </row>
    <row r="31" spans="1:3" ht="15" customHeight="1" x14ac:dyDescent="0.3">
      <c r="A31" s="165" t="s">
        <v>470</v>
      </c>
      <c r="B31" s="30" t="s">
        <v>471</v>
      </c>
      <c r="C31" s="161" t="s">
        <v>472</v>
      </c>
    </row>
    <row r="32" spans="1:3" ht="15" customHeight="1" x14ac:dyDescent="0.3">
      <c r="A32" s="258" t="s">
        <v>473</v>
      </c>
      <c r="B32" s="258"/>
      <c r="C32" s="258"/>
    </row>
    <row r="33" spans="1:3" ht="30" customHeight="1" x14ac:dyDescent="0.3">
      <c r="A33" s="163" t="s">
        <v>422</v>
      </c>
      <c r="B33" s="30" t="s">
        <v>474</v>
      </c>
      <c r="C33" s="161" t="s">
        <v>475</v>
      </c>
    </row>
    <row r="34" spans="1:3" ht="30" customHeight="1" x14ac:dyDescent="0.3">
      <c r="A34" s="165" t="s">
        <v>476</v>
      </c>
      <c r="B34" s="30" t="s">
        <v>477</v>
      </c>
      <c r="C34" s="161" t="s">
        <v>478</v>
      </c>
    </row>
    <row r="35" spans="1:3" ht="15" customHeight="1" x14ac:dyDescent="0.3">
      <c r="A35" s="163" t="s">
        <v>479</v>
      </c>
      <c r="B35" s="30" t="s">
        <v>480</v>
      </c>
      <c r="C35" s="158" t="s">
        <v>481</v>
      </c>
    </row>
    <row r="36" spans="1:3" ht="15" customHeight="1" x14ac:dyDescent="0.3">
      <c r="A36" s="159" t="s">
        <v>461</v>
      </c>
      <c r="B36" s="30" t="s">
        <v>482</v>
      </c>
      <c r="C36" s="161" t="s">
        <v>483</v>
      </c>
    </row>
    <row r="37" spans="1:3" x14ac:dyDescent="0.3">
      <c r="A37" s="159" t="s">
        <v>484</v>
      </c>
      <c r="B37" s="30" t="s">
        <v>485</v>
      </c>
      <c r="C37" s="161" t="s">
        <v>486</v>
      </c>
    </row>
    <row r="38" spans="1:3" x14ac:dyDescent="0.3">
      <c r="A38" s="259" t="s">
        <v>487</v>
      </c>
      <c r="B38" s="259"/>
      <c r="C38" s="259"/>
    </row>
    <row r="39" spans="1:3" x14ac:dyDescent="0.3">
      <c r="A39" s="162" t="s">
        <v>488</v>
      </c>
      <c r="B39" s="30" t="s">
        <v>489</v>
      </c>
      <c r="C39" s="257" t="s">
        <v>490</v>
      </c>
    </row>
    <row r="40" spans="1:3" x14ac:dyDescent="0.3">
      <c r="A40" s="162" t="s">
        <v>491</v>
      </c>
      <c r="B40" s="30" t="s">
        <v>492</v>
      </c>
      <c r="C40" s="257"/>
    </row>
    <row r="41" spans="1:3" x14ac:dyDescent="0.3">
      <c r="A41" s="162" t="s">
        <v>493</v>
      </c>
      <c r="B41" s="30" t="s">
        <v>494</v>
      </c>
      <c r="C41" s="257"/>
    </row>
    <row r="42" spans="1:3" x14ac:dyDescent="0.3">
      <c r="A42" s="162" t="s">
        <v>495</v>
      </c>
      <c r="B42" s="30" t="s">
        <v>496</v>
      </c>
      <c r="C42" s="257"/>
    </row>
    <row r="43" spans="1:3" x14ac:dyDescent="0.3">
      <c r="A43" s="162" t="s">
        <v>497</v>
      </c>
      <c r="B43" s="30" t="s">
        <v>498</v>
      </c>
      <c r="C43" s="257"/>
    </row>
    <row r="44" spans="1:3" x14ac:dyDescent="0.3">
      <c r="A44" s="162" t="s">
        <v>499</v>
      </c>
      <c r="B44" s="30" t="s">
        <v>500</v>
      </c>
      <c r="C44" s="257"/>
    </row>
    <row r="45" spans="1:3" x14ac:dyDescent="0.3">
      <c r="A45" s="259" t="s">
        <v>501</v>
      </c>
      <c r="B45" s="259"/>
      <c r="C45" s="259"/>
    </row>
    <row r="46" spans="1:3" x14ac:dyDescent="0.3">
      <c r="A46" s="163" t="s">
        <v>502</v>
      </c>
      <c r="B46" s="30" t="s">
        <v>503</v>
      </c>
      <c r="C46" s="161" t="s">
        <v>424</v>
      </c>
    </row>
    <row r="47" spans="1:3" ht="43.2" x14ac:dyDescent="0.3">
      <c r="A47" s="159" t="s">
        <v>435</v>
      </c>
      <c r="B47" s="30" t="s">
        <v>504</v>
      </c>
      <c r="C47" s="161" t="s">
        <v>505</v>
      </c>
    </row>
    <row r="48" spans="1:3" ht="28.8" x14ac:dyDescent="0.3">
      <c r="A48" s="159" t="s">
        <v>440</v>
      </c>
      <c r="B48" s="30" t="s">
        <v>506</v>
      </c>
      <c r="C48" s="161" t="s">
        <v>507</v>
      </c>
    </row>
    <row r="49" spans="1:3" ht="28.8" x14ac:dyDescent="0.3">
      <c r="A49" s="159" t="s">
        <v>443</v>
      </c>
      <c r="B49" s="30" t="s">
        <v>508</v>
      </c>
      <c r="C49" s="161" t="s">
        <v>509</v>
      </c>
    </row>
    <row r="50" spans="1:3" ht="28.8" x14ac:dyDescent="0.3">
      <c r="A50" s="159" t="s">
        <v>446</v>
      </c>
      <c r="B50" s="30" t="s">
        <v>510</v>
      </c>
      <c r="C50" s="158" t="s">
        <v>511</v>
      </c>
    </row>
    <row r="51" spans="1:3" x14ac:dyDescent="0.3">
      <c r="A51" s="166" t="s">
        <v>512</v>
      </c>
      <c r="B51" s="166"/>
      <c r="C51" s="166"/>
    </row>
    <row r="52" spans="1:3" ht="57.6" x14ac:dyDescent="0.3">
      <c r="A52" s="159" t="s">
        <v>455</v>
      </c>
      <c r="B52" s="30" t="s">
        <v>513</v>
      </c>
      <c r="C52" s="161" t="s">
        <v>514</v>
      </c>
    </row>
    <row r="53" spans="1:3" ht="28.8" x14ac:dyDescent="0.3">
      <c r="A53" s="159" t="s">
        <v>459</v>
      </c>
      <c r="B53" s="30" t="s">
        <v>515</v>
      </c>
      <c r="C53" s="167" t="s">
        <v>516</v>
      </c>
    </row>
    <row r="54" spans="1:3" x14ac:dyDescent="0.3">
      <c r="A54" s="259" t="s">
        <v>517</v>
      </c>
      <c r="B54" s="259"/>
      <c r="C54" s="259"/>
    </row>
    <row r="55" spans="1:3" x14ac:dyDescent="0.3">
      <c r="A55" s="163" t="s">
        <v>518</v>
      </c>
      <c r="B55" s="30" t="s">
        <v>519</v>
      </c>
      <c r="C55" s="257" t="s">
        <v>520</v>
      </c>
    </row>
    <row r="56" spans="1:3" x14ac:dyDescent="0.3">
      <c r="A56" s="163" t="s">
        <v>521</v>
      </c>
      <c r="B56" s="30" t="s">
        <v>522</v>
      </c>
      <c r="C56" s="257"/>
    </row>
    <row r="57" spans="1:3" x14ac:dyDescent="0.3">
      <c r="A57" s="159" t="s">
        <v>449</v>
      </c>
      <c r="B57" s="30" t="s">
        <v>523</v>
      </c>
      <c r="C57" s="257" t="s">
        <v>524</v>
      </c>
    </row>
    <row r="58" spans="1:3" x14ac:dyDescent="0.3">
      <c r="A58" s="159" t="s">
        <v>452</v>
      </c>
      <c r="B58" s="30" t="s">
        <v>525</v>
      </c>
      <c r="C58" s="257"/>
    </row>
    <row r="59" spans="1:3" ht="43.2" x14ac:dyDescent="0.3">
      <c r="A59" s="159" t="s">
        <v>455</v>
      </c>
      <c r="B59" s="30" t="s">
        <v>513</v>
      </c>
      <c r="C59" s="161" t="s">
        <v>526</v>
      </c>
    </row>
    <row r="60" spans="1:3" ht="43.2" x14ac:dyDescent="0.3">
      <c r="A60" s="159" t="s">
        <v>458</v>
      </c>
      <c r="B60" s="30" t="s">
        <v>527</v>
      </c>
      <c r="C60" s="161" t="s">
        <v>528</v>
      </c>
    </row>
    <row r="61" spans="1:3" x14ac:dyDescent="0.3">
      <c r="A61" s="166" t="s">
        <v>529</v>
      </c>
      <c r="B61" s="166"/>
      <c r="C61" s="166"/>
    </row>
    <row r="62" spans="1:3" ht="28.8" x14ac:dyDescent="0.3">
      <c r="A62" s="171" t="s">
        <v>530</v>
      </c>
      <c r="B62" s="168" t="s">
        <v>531</v>
      </c>
      <c r="C62" s="169" t="s">
        <v>532</v>
      </c>
    </row>
    <row r="75" ht="31.5" customHeight="1" x14ac:dyDescent="0.3"/>
    <row r="77" ht="31.5" customHeight="1" x14ac:dyDescent="0.3"/>
  </sheetData>
  <customSheetViews>
    <customSheetView guid="{C845FD7F-3CB2-4CBC-892C-E2474769F660}" fitToPage="1" hiddenRows="1">
      <pane ySplit="1" topLeftCell="A2" activePane="bottomLeft" state="frozen"/>
      <selection pane="bottomLeft" activeCell="A7" sqref="A7"/>
      <pageMargins left="0" right="0" top="0" bottom="0" header="0" footer="0"/>
      <pageSetup scale="76" orientation="landscape" r:id="rId1"/>
    </customSheetView>
    <customSheetView guid="{25BFA7C9-9C08-4E2D-B44F-21E683ECAB75}" fitToPage="1" hiddenRows="1">
      <pane ySplit="1" topLeftCell="A51" activePane="bottomLeft" state="frozen"/>
      <selection pane="bottomLeft" activeCell="A60" sqref="A57:A60"/>
      <pageMargins left="0" right="0" top="0" bottom="0" header="0" footer="0"/>
      <pageSetup scale="76" orientation="landscape" r:id="rId2"/>
    </customSheetView>
    <customSheetView guid="{7ADF16FD-9B7D-42F1-AFE6-6E8D21F9D09B}" fitToPage="1" hiddenRows="1">
      <pane ySplit="3" topLeftCell="A4" activePane="bottomLeft" state="frozen"/>
      <selection pane="bottomLeft" activeCell="B13" sqref="B13"/>
      <pageMargins left="0" right="0" top="0" bottom="0" header="0" footer="0"/>
      <pageSetup scale="90" orientation="landscape" r:id="rId3"/>
    </customSheetView>
    <customSheetView guid="{31D107EB-A48D-4232-90AA-7BB972732D83}" showPageBreaks="1" fitToPage="1" hiddenRows="1">
      <pane ySplit="1" topLeftCell="A2" activePane="bottomLeft" state="frozen"/>
      <selection pane="bottomLeft" activeCell="I25" sqref="I25"/>
      <pageMargins left="0" right="0" top="0" bottom="0" header="0" footer="0"/>
      <pageSetup scale="77" orientation="landscape" r:id="rId4"/>
    </customSheetView>
    <customSheetView guid="{EE8DE643-7531-4BA6-A2AE-CA7A0FACFBB5}" fitToPage="1" hiddenRows="1">
      <pane ySplit="3" topLeftCell="A4" activePane="bottomLeft" state="frozen"/>
      <selection pane="bottomLeft" activeCell="A5" sqref="A5"/>
      <pageMargins left="0" right="0" top="0" bottom="0" header="0" footer="0"/>
      <pageSetup scale="77" orientation="portrait" r:id="rId5"/>
    </customSheetView>
    <customSheetView guid="{5E8C3AE4-233F-4E25-872C-6621CB9B96CA}" fitToPage="1" hiddenRows="1">
      <pane ySplit="1" topLeftCell="A2" activePane="bottomLeft" state="frozen"/>
      <selection pane="bottomLeft" sqref="A1:XFD1"/>
      <pageMargins left="0" right="0" top="0" bottom="0" header="0" footer="0"/>
      <pageSetup scale="76" orientation="landscape" r:id="rId6"/>
    </customSheetView>
    <customSheetView guid="{E5A90478-501D-42C6-86FE-EBC9FB0438FD}" fitToPage="1" hiddenRows="1">
      <pane ySplit="1" topLeftCell="A2" activePane="bottomLeft" state="frozen"/>
      <selection pane="bottomLeft" activeCell="H28" sqref="H28"/>
      <pageMargins left="0" right="0" top="0" bottom="0" header="0" footer="0"/>
      <pageSetup scale="76" orientation="landscape" r:id="rId7"/>
    </customSheetView>
  </customSheetViews>
  <mergeCells count="12">
    <mergeCell ref="A1:C1"/>
    <mergeCell ref="A2:C2"/>
    <mergeCell ref="A4:C4"/>
    <mergeCell ref="A16:C16"/>
    <mergeCell ref="A30:C30"/>
    <mergeCell ref="C55:C56"/>
    <mergeCell ref="C57:C58"/>
    <mergeCell ref="A32:C32"/>
    <mergeCell ref="A38:C38"/>
    <mergeCell ref="C39:C44"/>
    <mergeCell ref="A45:C45"/>
    <mergeCell ref="A54:C54"/>
  </mergeCells>
  <pageMargins left="0.19685039370078741" right="0.19685039370078741" top="0.19685039370078741" bottom="0.19685039370078741" header="0.31496062992125984" footer="0.31496062992125984"/>
  <pageSetup scale="76" orientation="landscape"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2"/>
  <sheetViews>
    <sheetView workbookViewId="0">
      <selection activeCell="B6" sqref="B6"/>
    </sheetView>
  </sheetViews>
  <sheetFormatPr defaultColWidth="9.109375" defaultRowHeight="14.4" x14ac:dyDescent="0.3"/>
  <cols>
    <col min="1" max="1" width="18" bestFit="1" customWidth="1"/>
    <col min="2" max="2" width="9.33203125" customWidth="1"/>
    <col min="3" max="3" width="27.109375" customWidth="1"/>
    <col min="4" max="4" width="18" customWidth="1"/>
    <col min="5" max="5" width="54" customWidth="1"/>
    <col min="6" max="6" width="46" customWidth="1"/>
  </cols>
  <sheetData>
    <row r="1" spans="1:1" ht="15.6" x14ac:dyDescent="0.3">
      <c r="A1" s="10" t="s">
        <v>533</v>
      </c>
    </row>
    <row r="2" spans="1:1" x14ac:dyDescent="0.3">
      <c r="A2" t="s">
        <v>534</v>
      </c>
    </row>
  </sheetData>
  <customSheetViews>
    <customSheetView guid="{C845FD7F-3CB2-4CBC-892C-E2474769F660}">
      <selection activeCell="B9" sqref="B9"/>
      <pageMargins left="0" right="0" top="0" bottom="0" header="0" footer="0"/>
      <pageSetup orientation="portrait" r:id="rId1"/>
    </customSheetView>
    <customSheetView guid="{25BFA7C9-9C08-4E2D-B44F-21E683ECAB75}">
      <selection activeCell="B9" sqref="B9"/>
      <pageMargins left="0" right="0" top="0" bottom="0" header="0" footer="0"/>
      <pageSetup orientation="portrait" r:id="rId2"/>
    </customSheetView>
    <customSheetView guid="{7ADF16FD-9B7D-42F1-AFE6-6E8D21F9D09B}">
      <selection sqref="A1:XFD2"/>
      <pageMargins left="0" right="0" top="0" bottom="0" header="0" footer="0"/>
      <pageSetup orientation="portrait" r:id="rId3"/>
    </customSheetView>
    <customSheetView guid="{31D107EB-A48D-4232-90AA-7BB972732D83}" showPageBreaks="1">
      <selection activeCell="A9" sqref="A9"/>
      <pageMargins left="0" right="0" top="0" bottom="0" header="0" footer="0"/>
      <pageSetup orientation="portrait" r:id="rId4"/>
    </customSheetView>
    <customSheetView guid="{EE8DE643-7531-4BA6-A2AE-CA7A0FACFBB5}" fitToPage="1">
      <selection activeCell="A33" sqref="A33:A35"/>
      <pageMargins left="0" right="0" top="0" bottom="0" header="0" footer="0"/>
      <pageSetup orientation="portrait" r:id="rId5"/>
    </customSheetView>
    <customSheetView guid="{5E8C3AE4-233F-4E25-872C-6621CB9B96CA}">
      <selection activeCell="I12" sqref="I12"/>
      <pageMargins left="0" right="0" top="0" bottom="0" header="0" footer="0"/>
      <pageSetup orientation="portrait" r:id="rId6"/>
    </customSheetView>
    <customSheetView guid="{E5A90478-501D-42C6-86FE-EBC9FB0438FD}">
      <selection activeCell="B9" sqref="B9"/>
      <pageMargins left="0" right="0" top="0" bottom="0" header="0" footer="0"/>
      <pageSetup orientation="portrait" r:id="rId7"/>
    </customSheetView>
  </customSheetViews>
  <pageMargins left="0.19685039370078741" right="0.19685039370078741" top="0.19685039370078741" bottom="0.19685039370078741" header="0.31496062992125984" footer="0.31496062992125984"/>
  <pageSetup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9"/>
  <sheetViews>
    <sheetView workbookViewId="0">
      <selection activeCell="B33" sqref="B33"/>
    </sheetView>
  </sheetViews>
  <sheetFormatPr defaultColWidth="9.109375" defaultRowHeight="14.4" x14ac:dyDescent="0.3"/>
  <cols>
    <col min="1" max="1" width="4.109375" style="6" bestFit="1" customWidth="1"/>
    <col min="2" max="2" width="89.6640625" customWidth="1"/>
    <col min="4" max="4" width="11.6640625" customWidth="1"/>
    <col min="5" max="5" width="40.6640625" customWidth="1"/>
  </cols>
  <sheetData>
    <row r="1" spans="1:6" s="14" customFormat="1" ht="15.6" x14ac:dyDescent="0.3">
      <c r="A1" s="10" t="s">
        <v>535</v>
      </c>
      <c r="F1" s="15"/>
    </row>
    <row r="2" spans="1:6" x14ac:dyDescent="0.3">
      <c r="A2" s="9"/>
      <c r="F2" s="11"/>
    </row>
    <row r="3" spans="1:6" x14ac:dyDescent="0.3">
      <c r="A3" s="262" t="s">
        <v>536</v>
      </c>
      <c r="B3" s="262"/>
    </row>
    <row r="4" spans="1:6" x14ac:dyDescent="0.3">
      <c r="A4" s="4" t="s">
        <v>537</v>
      </c>
      <c r="B4" s="2" t="s">
        <v>402</v>
      </c>
    </row>
    <row r="5" spans="1:6" x14ac:dyDescent="0.3">
      <c r="A5" s="5">
        <v>1</v>
      </c>
      <c r="B5" s="3" t="s">
        <v>538</v>
      </c>
      <c r="E5" s="22"/>
    </row>
    <row r="6" spans="1:6" x14ac:dyDescent="0.3">
      <c r="A6" s="5">
        <v>2</v>
      </c>
      <c r="B6" s="3" t="s">
        <v>539</v>
      </c>
      <c r="E6" s="22"/>
    </row>
    <row r="7" spans="1:6" x14ac:dyDescent="0.3">
      <c r="A7" s="5">
        <v>3</v>
      </c>
      <c r="B7" t="s">
        <v>540</v>
      </c>
      <c r="E7" s="22"/>
    </row>
    <row r="8" spans="1:6" x14ac:dyDescent="0.3">
      <c r="A8" s="5">
        <v>4</v>
      </c>
      <c r="B8" s="3" t="s">
        <v>541</v>
      </c>
      <c r="E8" s="22"/>
    </row>
    <row r="9" spans="1:6" x14ac:dyDescent="0.3">
      <c r="A9" s="5">
        <v>5</v>
      </c>
      <c r="B9" s="3" t="s">
        <v>542</v>
      </c>
    </row>
    <row r="10" spans="1:6" x14ac:dyDescent="0.3">
      <c r="A10" s="5"/>
      <c r="B10" s="3"/>
      <c r="E10" s="22"/>
    </row>
    <row r="11" spans="1:6" x14ac:dyDescent="0.3">
      <c r="A11" s="5"/>
      <c r="B11" s="3"/>
      <c r="E11" s="22"/>
    </row>
    <row r="12" spans="1:6" x14ac:dyDescent="0.3">
      <c r="A12" s="5"/>
      <c r="B12" s="3"/>
      <c r="E12" s="22"/>
    </row>
    <row r="13" spans="1:6" x14ac:dyDescent="0.3">
      <c r="A13" s="5"/>
      <c r="B13" s="7"/>
      <c r="E13" s="22"/>
    </row>
    <row r="14" spans="1:6" x14ac:dyDescent="0.3">
      <c r="A14" s="5"/>
      <c r="B14" s="3"/>
      <c r="E14" s="22"/>
    </row>
    <row r="15" spans="1:6" x14ac:dyDescent="0.3">
      <c r="A15" s="5"/>
      <c r="B15" s="7"/>
    </row>
    <row r="16" spans="1:6" x14ac:dyDescent="0.3">
      <c r="A16" s="5"/>
      <c r="B16" s="3"/>
    </row>
    <row r="18" spans="1:7" x14ac:dyDescent="0.3">
      <c r="A18" s="262" t="s">
        <v>543</v>
      </c>
      <c r="B18" s="262"/>
    </row>
    <row r="19" spans="1:7" x14ac:dyDescent="0.3">
      <c r="A19" s="198" t="s">
        <v>537</v>
      </c>
      <c r="B19" s="199" t="s">
        <v>402</v>
      </c>
    </row>
    <row r="20" spans="1:7" x14ac:dyDescent="0.3">
      <c r="A20" s="8"/>
      <c r="B20" s="201" t="s">
        <v>544</v>
      </c>
      <c r="C20" s="200"/>
      <c r="D20" s="200"/>
      <c r="E20" s="6"/>
      <c r="F20" s="200"/>
      <c r="G20" s="200"/>
    </row>
    <row r="21" spans="1:7" x14ac:dyDescent="0.3">
      <c r="A21" s="8">
        <v>1</v>
      </c>
      <c r="B21" s="3" t="s">
        <v>545</v>
      </c>
      <c r="E21" s="6"/>
    </row>
    <row r="22" spans="1:7" x14ac:dyDescent="0.3">
      <c r="A22" s="8">
        <v>2</v>
      </c>
      <c r="B22" s="3" t="s">
        <v>546</v>
      </c>
      <c r="E22" s="6"/>
    </row>
    <row r="23" spans="1:7" x14ac:dyDescent="0.3">
      <c r="A23" s="8">
        <v>3</v>
      </c>
      <c r="B23" s="3" t="s">
        <v>547</v>
      </c>
      <c r="E23" s="6"/>
    </row>
    <row r="24" spans="1:7" x14ac:dyDescent="0.3">
      <c r="A24" s="8"/>
      <c r="B24" s="3" t="s">
        <v>548</v>
      </c>
      <c r="E24" s="6"/>
    </row>
    <row r="25" spans="1:7" x14ac:dyDescent="0.3">
      <c r="A25" s="8"/>
      <c r="B25" s="3"/>
    </row>
    <row r="26" spans="1:7" x14ac:dyDescent="0.3">
      <c r="A26" s="8"/>
      <c r="B26" s="3"/>
    </row>
    <row r="27" spans="1:7" x14ac:dyDescent="0.3">
      <c r="A27" s="8"/>
      <c r="B27" s="3"/>
    </row>
    <row r="28" spans="1:7" x14ac:dyDescent="0.3">
      <c r="A28" s="8"/>
      <c r="B28" s="3"/>
    </row>
    <row r="29" spans="1:7" x14ac:dyDescent="0.3">
      <c r="A29" s="8"/>
      <c r="B29" s="3"/>
    </row>
  </sheetData>
  <customSheetViews>
    <customSheetView guid="{C845FD7F-3CB2-4CBC-892C-E2474769F660}">
      <selection sqref="A1:XFD2"/>
      <pageMargins left="0" right="0" top="0" bottom="0" header="0" footer="0"/>
      <pageSetup orientation="portrait" horizontalDpi="300" verticalDpi="300" r:id="rId1"/>
    </customSheetView>
    <customSheetView guid="{25BFA7C9-9C08-4E2D-B44F-21E683ECAB75}">
      <selection sqref="A1:XFD2"/>
      <pageMargins left="0" right="0" top="0" bottom="0" header="0" footer="0"/>
      <pageSetup orientation="portrait" horizontalDpi="300" verticalDpi="300" r:id="rId2"/>
    </customSheetView>
    <customSheetView guid="{7ADF16FD-9B7D-42F1-AFE6-6E8D21F9D09B}">
      <selection sqref="A1:XFD2"/>
      <pageMargins left="0" right="0" top="0" bottom="0" header="0" footer="0"/>
      <pageSetup orientation="portrait" horizontalDpi="300" verticalDpi="300" r:id="rId3"/>
    </customSheetView>
    <customSheetView guid="{31D107EB-A48D-4232-90AA-7BB972732D83}" showPageBreaks="1">
      <selection activeCell="B6" sqref="B6"/>
      <pageMargins left="0" right="0" top="0" bottom="0" header="0" footer="0"/>
      <pageSetup orientation="portrait" horizontalDpi="300" verticalDpi="300" r:id="rId4"/>
    </customSheetView>
    <customSheetView guid="{EE8DE643-7531-4BA6-A2AE-CA7A0FACFBB5}" fitToPage="1">
      <selection activeCell="B14" sqref="B14"/>
      <pageMargins left="0" right="0" top="0" bottom="0" header="0" footer="0"/>
      <pageSetup orientation="portrait" horizontalDpi="300" verticalDpi="300" r:id="rId5"/>
    </customSheetView>
    <customSheetView guid="{5E8C3AE4-233F-4E25-872C-6621CB9B96CA}">
      <selection sqref="A1:XFD2"/>
      <pageMargins left="0" right="0" top="0" bottom="0" header="0" footer="0"/>
      <pageSetup orientation="portrait" horizontalDpi="300" verticalDpi="300" r:id="rId6"/>
    </customSheetView>
    <customSheetView guid="{E5A90478-501D-42C6-86FE-EBC9FB0438FD}">
      <selection sqref="A1:XFD2"/>
      <pageMargins left="0" right="0" top="0" bottom="0" header="0" footer="0"/>
      <pageSetup orientation="portrait" horizontalDpi="300" verticalDpi="300" r:id="rId7"/>
    </customSheetView>
  </customSheetViews>
  <mergeCells count="2">
    <mergeCell ref="A3:B3"/>
    <mergeCell ref="A18:B18"/>
  </mergeCells>
  <pageMargins left="0.19685039370078741" right="0.19685039370078741" top="0.19685039370078741" bottom="0.19685039370078741" header="0.31496062992125984" footer="0.31496062992125984"/>
  <pageSetup orientation="portrait" horizontalDpi="300" verticalDpi="300"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C61"/>
  <sheetViews>
    <sheetView workbookViewId="0">
      <pane ySplit="1" topLeftCell="A2" activePane="bottomLeft" state="frozen"/>
      <selection pane="bottomLeft"/>
    </sheetView>
  </sheetViews>
  <sheetFormatPr defaultColWidth="9.109375" defaultRowHeight="11.4" x14ac:dyDescent="0.3"/>
  <cols>
    <col min="1" max="1" width="64.6640625" style="212" bestFit="1" customWidth="1"/>
    <col min="2" max="2" width="42.6640625" style="212" customWidth="1"/>
    <col min="3" max="3" width="79.6640625" style="212" customWidth="1"/>
    <col min="4" max="4" width="13.6640625" style="212" bestFit="1" customWidth="1"/>
    <col min="5" max="5" width="22.6640625" style="212" bestFit="1" customWidth="1"/>
    <col min="6" max="6" width="16.33203125" style="212" customWidth="1"/>
    <col min="7" max="7" width="9.109375" style="212"/>
    <col min="8" max="8" width="53.6640625" style="212" customWidth="1"/>
    <col min="9" max="9" width="9" style="212" bestFit="1" customWidth="1"/>
    <col min="10" max="10" width="37.6640625" style="212" customWidth="1"/>
    <col min="11" max="16384" width="9.109375" style="212"/>
  </cols>
  <sheetData>
    <row r="1" spans="1:3" s="205" customFormat="1" ht="15.6" x14ac:dyDescent="0.3">
      <c r="A1" s="204" t="s">
        <v>399</v>
      </c>
      <c r="B1" s="204"/>
      <c r="C1" s="204"/>
    </row>
    <row r="2" spans="1:3" s="207" customFormat="1" ht="14.4" x14ac:dyDescent="0.3">
      <c r="A2" s="206" t="s">
        <v>400</v>
      </c>
      <c r="B2" s="206"/>
      <c r="C2" s="206"/>
    </row>
    <row r="3" spans="1:3" s="207" customFormat="1" ht="14.4" x14ac:dyDescent="0.3">
      <c r="A3" s="208" t="s">
        <v>401</v>
      </c>
      <c r="B3" s="208" t="s">
        <v>402</v>
      </c>
      <c r="C3" s="208" t="s">
        <v>403</v>
      </c>
    </row>
    <row r="4" spans="1:3" s="207" customFormat="1" ht="14.4" x14ac:dyDescent="0.3">
      <c r="A4" s="209" t="s">
        <v>404</v>
      </c>
      <c r="B4" s="209"/>
      <c r="C4" s="209"/>
    </row>
    <row r="5" spans="1:3" ht="14.4" x14ac:dyDescent="0.3">
      <c r="A5" s="210" t="s">
        <v>405</v>
      </c>
      <c r="B5" s="211" t="s">
        <v>406</v>
      </c>
      <c r="C5" s="211" t="s">
        <v>407</v>
      </c>
    </row>
    <row r="6" spans="1:3" ht="14.4" x14ac:dyDescent="0.3">
      <c r="A6" s="213" t="s">
        <v>408</v>
      </c>
      <c r="B6" s="211" t="s">
        <v>409</v>
      </c>
      <c r="C6" s="211" t="s">
        <v>410</v>
      </c>
    </row>
    <row r="7" spans="1:3" ht="11.7" customHeight="1" x14ac:dyDescent="0.3">
      <c r="A7" s="214" t="s">
        <v>411</v>
      </c>
      <c r="B7" s="203" t="s">
        <v>549</v>
      </c>
      <c r="C7" s="203" t="s">
        <v>549</v>
      </c>
    </row>
    <row r="8" spans="1:3" ht="14.4" x14ac:dyDescent="0.3">
      <c r="A8" s="215" t="s">
        <v>414</v>
      </c>
      <c r="B8" s="216" t="s">
        <v>415</v>
      </c>
      <c r="C8" s="211" t="s">
        <v>416</v>
      </c>
    </row>
    <row r="9" spans="1:3" ht="11.7" customHeight="1" x14ac:dyDescent="0.3">
      <c r="A9" s="217" t="s">
        <v>417</v>
      </c>
      <c r="B9" s="211" t="s">
        <v>418</v>
      </c>
      <c r="C9" s="211" t="s">
        <v>419</v>
      </c>
    </row>
    <row r="10" spans="1:3" ht="14.4" x14ac:dyDescent="0.3">
      <c r="A10" s="213" t="s">
        <v>420</v>
      </c>
      <c r="B10" s="211" t="s">
        <v>421</v>
      </c>
      <c r="C10" s="211" t="s">
        <v>421</v>
      </c>
    </row>
    <row r="11" spans="1:3" ht="14.4" x14ac:dyDescent="0.3">
      <c r="A11" s="214" t="s">
        <v>422</v>
      </c>
      <c r="B11" s="211" t="s">
        <v>423</v>
      </c>
      <c r="C11" s="211" t="s">
        <v>424</v>
      </c>
    </row>
    <row r="12" spans="1:3" ht="14.4" x14ac:dyDescent="0.3">
      <c r="A12" s="217" t="s">
        <v>425</v>
      </c>
      <c r="B12" s="211" t="s">
        <v>426</v>
      </c>
      <c r="C12" s="211" t="s">
        <v>424</v>
      </c>
    </row>
    <row r="13" spans="1:3" ht="14.4" x14ac:dyDescent="0.3">
      <c r="A13" s="217" t="s">
        <v>427</v>
      </c>
      <c r="B13" s="211" t="s">
        <v>428</v>
      </c>
      <c r="C13" s="211" t="s">
        <v>429</v>
      </c>
    </row>
    <row r="14" spans="1:3" ht="14.4" x14ac:dyDescent="0.3">
      <c r="A14" s="214" t="s">
        <v>430</v>
      </c>
      <c r="B14" s="211" t="s">
        <v>431</v>
      </c>
      <c r="C14" s="211" t="s">
        <v>424</v>
      </c>
    </row>
    <row r="15" spans="1:3" ht="14.4" x14ac:dyDescent="0.3">
      <c r="A15" s="217" t="s">
        <v>432</v>
      </c>
      <c r="B15" s="211" t="s">
        <v>433</v>
      </c>
      <c r="C15" s="211" t="s">
        <v>424</v>
      </c>
    </row>
    <row r="16" spans="1:3" ht="14.4" x14ac:dyDescent="0.3">
      <c r="A16" s="209" t="s">
        <v>434</v>
      </c>
      <c r="B16" s="209"/>
      <c r="C16" s="209"/>
    </row>
    <row r="17" spans="1:3" ht="14.4" x14ac:dyDescent="0.3">
      <c r="A17" s="213" t="s">
        <v>435</v>
      </c>
      <c r="B17" s="216" t="s">
        <v>436</v>
      </c>
      <c r="C17" s="216" t="s">
        <v>437</v>
      </c>
    </row>
    <row r="18" spans="1:3" ht="14.4" x14ac:dyDescent="0.3">
      <c r="A18" s="213" t="s">
        <v>435</v>
      </c>
      <c r="B18" s="216" t="s">
        <v>438</v>
      </c>
      <c r="C18" s="216" t="s">
        <v>439</v>
      </c>
    </row>
    <row r="19" spans="1:3" ht="14.4" x14ac:dyDescent="0.3">
      <c r="A19" s="213" t="s">
        <v>440</v>
      </c>
      <c r="B19" s="216" t="s">
        <v>441</v>
      </c>
      <c r="C19" s="216" t="s">
        <v>442</v>
      </c>
    </row>
    <row r="20" spans="1:3" ht="14.4" x14ac:dyDescent="0.3">
      <c r="A20" s="213" t="s">
        <v>443</v>
      </c>
      <c r="B20" s="216" t="s">
        <v>444</v>
      </c>
      <c r="C20" s="216" t="s">
        <v>445</v>
      </c>
    </row>
    <row r="21" spans="1:3" ht="14.4" x14ac:dyDescent="0.3">
      <c r="A21" s="213" t="s">
        <v>446</v>
      </c>
      <c r="B21" s="216" t="s">
        <v>447</v>
      </c>
      <c r="C21" s="216" t="s">
        <v>448</v>
      </c>
    </row>
    <row r="22" spans="1:3" ht="14.4" x14ac:dyDescent="0.3">
      <c r="A22" s="213" t="s">
        <v>449</v>
      </c>
      <c r="B22" s="216" t="s">
        <v>450</v>
      </c>
      <c r="C22" s="216" t="s">
        <v>451</v>
      </c>
    </row>
    <row r="23" spans="1:3" ht="14.4" x14ac:dyDescent="0.3">
      <c r="A23" s="213" t="s">
        <v>452</v>
      </c>
      <c r="B23" s="216" t="s">
        <v>453</v>
      </c>
      <c r="C23" s="216" t="s">
        <v>454</v>
      </c>
    </row>
    <row r="24" spans="1:3" ht="14.4" x14ac:dyDescent="0.3">
      <c r="A24" s="213" t="s">
        <v>455</v>
      </c>
      <c r="B24" s="216" t="s">
        <v>456</v>
      </c>
      <c r="C24" s="216" t="s">
        <v>457</v>
      </c>
    </row>
    <row r="25" spans="1:3" ht="14.4" x14ac:dyDescent="0.3">
      <c r="A25" s="213" t="s">
        <v>458</v>
      </c>
      <c r="B25" s="211" t="s">
        <v>413</v>
      </c>
      <c r="C25" s="211" t="s">
        <v>413</v>
      </c>
    </row>
    <row r="26" spans="1:3" ht="14.4" x14ac:dyDescent="0.3">
      <c r="A26" s="213" t="s">
        <v>459</v>
      </c>
      <c r="B26" s="216" t="s">
        <v>550</v>
      </c>
      <c r="C26" s="216" t="s">
        <v>551</v>
      </c>
    </row>
    <row r="27" spans="1:3" ht="14.4" x14ac:dyDescent="0.3">
      <c r="A27" s="213" t="s">
        <v>461</v>
      </c>
      <c r="B27" s="216" t="s">
        <v>552</v>
      </c>
      <c r="C27" s="216" t="s">
        <v>553</v>
      </c>
    </row>
    <row r="28" spans="1:3" ht="14.4" x14ac:dyDescent="0.3">
      <c r="A28" s="213" t="s">
        <v>463</v>
      </c>
      <c r="B28" s="216" t="s">
        <v>554</v>
      </c>
      <c r="C28" s="216" t="s">
        <v>555</v>
      </c>
    </row>
    <row r="29" spans="1:3" ht="14.4" x14ac:dyDescent="0.3">
      <c r="A29" s="209" t="s">
        <v>469</v>
      </c>
      <c r="B29" s="209"/>
      <c r="C29" s="209"/>
    </row>
    <row r="30" spans="1:3" ht="14.4" x14ac:dyDescent="0.3">
      <c r="A30" s="218" t="s">
        <v>470</v>
      </c>
      <c r="B30" s="216" t="s">
        <v>471</v>
      </c>
      <c r="C30" s="216" t="s">
        <v>472</v>
      </c>
    </row>
    <row r="31" spans="1:3" ht="14.4" x14ac:dyDescent="0.3">
      <c r="A31" s="209" t="s">
        <v>473</v>
      </c>
      <c r="B31" s="209"/>
      <c r="C31" s="209"/>
    </row>
    <row r="32" spans="1:3" ht="14.4" x14ac:dyDescent="0.3">
      <c r="A32" s="214" t="s">
        <v>422</v>
      </c>
      <c r="B32" s="216" t="s">
        <v>474</v>
      </c>
      <c r="C32" s="216" t="s">
        <v>475</v>
      </c>
    </row>
    <row r="33" spans="1:3" ht="14.4" x14ac:dyDescent="0.3">
      <c r="A33" s="218" t="s">
        <v>476</v>
      </c>
      <c r="B33" s="216" t="s">
        <v>477</v>
      </c>
      <c r="C33" s="216" t="s">
        <v>478</v>
      </c>
    </row>
    <row r="34" spans="1:3" ht="14.4" x14ac:dyDescent="0.3">
      <c r="A34" s="214" t="s">
        <v>479</v>
      </c>
      <c r="B34" s="216" t="s">
        <v>480</v>
      </c>
      <c r="C34" s="211" t="s">
        <v>481</v>
      </c>
    </row>
    <row r="35" spans="1:3" ht="14.4" x14ac:dyDescent="0.3">
      <c r="A35" s="213" t="s">
        <v>461</v>
      </c>
      <c r="B35" s="216" t="s">
        <v>482</v>
      </c>
      <c r="C35" s="216" t="s">
        <v>483</v>
      </c>
    </row>
    <row r="36" spans="1:3" ht="14.4" x14ac:dyDescent="0.3">
      <c r="A36" s="213" t="s">
        <v>484</v>
      </c>
      <c r="B36" s="216" t="s">
        <v>485</v>
      </c>
      <c r="C36" s="216" t="s">
        <v>486</v>
      </c>
    </row>
    <row r="37" spans="1:3" ht="14.4" x14ac:dyDescent="0.3">
      <c r="A37" s="209" t="s">
        <v>487</v>
      </c>
      <c r="B37" s="209"/>
      <c r="C37" s="209"/>
    </row>
    <row r="38" spans="1:3" ht="14.4" x14ac:dyDescent="0.3">
      <c r="A38" s="217" t="s">
        <v>488</v>
      </c>
      <c r="B38" s="216" t="s">
        <v>489</v>
      </c>
      <c r="C38" s="216" t="s">
        <v>490</v>
      </c>
    </row>
    <row r="39" spans="1:3" ht="14.4" x14ac:dyDescent="0.3">
      <c r="A39" s="217" t="s">
        <v>491</v>
      </c>
      <c r="B39" s="216" t="s">
        <v>492</v>
      </c>
      <c r="C39" s="216"/>
    </row>
    <row r="40" spans="1:3" ht="14.4" x14ac:dyDescent="0.3">
      <c r="A40" s="217" t="s">
        <v>493</v>
      </c>
      <c r="B40" s="216" t="s">
        <v>494</v>
      </c>
      <c r="C40" s="216"/>
    </row>
    <row r="41" spans="1:3" ht="14.4" x14ac:dyDescent="0.3">
      <c r="A41" s="217" t="s">
        <v>495</v>
      </c>
      <c r="B41" s="216" t="s">
        <v>496</v>
      </c>
      <c r="C41" s="216"/>
    </row>
    <row r="42" spans="1:3" ht="14.4" x14ac:dyDescent="0.3">
      <c r="A42" s="217" t="s">
        <v>497</v>
      </c>
      <c r="B42" s="216" t="s">
        <v>498</v>
      </c>
      <c r="C42" s="216"/>
    </row>
    <row r="43" spans="1:3" ht="14.4" x14ac:dyDescent="0.3">
      <c r="A43" s="217" t="s">
        <v>499</v>
      </c>
      <c r="B43" s="216" t="s">
        <v>500</v>
      </c>
      <c r="C43" s="216"/>
    </row>
    <row r="44" spans="1:3" ht="14.4" x14ac:dyDescent="0.3">
      <c r="A44" s="209" t="s">
        <v>501</v>
      </c>
      <c r="B44" s="209"/>
      <c r="C44" s="209"/>
    </row>
    <row r="45" spans="1:3" ht="14.4" x14ac:dyDescent="0.3">
      <c r="A45" s="214" t="s">
        <v>502</v>
      </c>
      <c r="B45" s="216" t="s">
        <v>503</v>
      </c>
      <c r="C45" s="216" t="s">
        <v>424</v>
      </c>
    </row>
    <row r="46" spans="1:3" ht="14.4" x14ac:dyDescent="0.3">
      <c r="A46" s="213" t="s">
        <v>435</v>
      </c>
      <c r="B46" s="216" t="s">
        <v>504</v>
      </c>
      <c r="C46" s="216" t="s">
        <v>505</v>
      </c>
    </row>
    <row r="47" spans="1:3" ht="14.4" x14ac:dyDescent="0.3">
      <c r="A47" s="213" t="s">
        <v>440</v>
      </c>
      <c r="B47" s="216" t="s">
        <v>506</v>
      </c>
      <c r="C47" s="216" t="s">
        <v>507</v>
      </c>
    </row>
    <row r="48" spans="1:3" ht="14.4" x14ac:dyDescent="0.3">
      <c r="A48" s="213" t="s">
        <v>443</v>
      </c>
      <c r="B48" s="216" t="s">
        <v>508</v>
      </c>
      <c r="C48" s="216" t="s">
        <v>509</v>
      </c>
    </row>
    <row r="49" spans="1:3" ht="14.4" x14ac:dyDescent="0.3">
      <c r="A49" s="213" t="s">
        <v>446</v>
      </c>
      <c r="B49" s="216" t="s">
        <v>510</v>
      </c>
      <c r="C49" s="211" t="s">
        <v>511</v>
      </c>
    </row>
    <row r="50" spans="1:3" ht="14.4" x14ac:dyDescent="0.3">
      <c r="A50" s="209" t="s">
        <v>512</v>
      </c>
      <c r="B50" s="209"/>
      <c r="C50" s="209"/>
    </row>
    <row r="51" spans="1:3" ht="14.4" x14ac:dyDescent="0.3">
      <c r="A51" s="213" t="s">
        <v>455</v>
      </c>
      <c r="B51" s="216" t="s">
        <v>513</v>
      </c>
      <c r="C51" s="216" t="s">
        <v>514</v>
      </c>
    </row>
    <row r="52" spans="1:3" ht="14.4" x14ac:dyDescent="0.3">
      <c r="A52" s="213" t="s">
        <v>459</v>
      </c>
      <c r="B52" s="216" t="s">
        <v>515</v>
      </c>
      <c r="C52" s="219" t="s">
        <v>516</v>
      </c>
    </row>
    <row r="53" spans="1:3" ht="14.4" x14ac:dyDescent="0.3">
      <c r="A53" s="209" t="s">
        <v>517</v>
      </c>
      <c r="B53" s="209"/>
      <c r="C53" s="209"/>
    </row>
    <row r="54" spans="1:3" ht="14.4" x14ac:dyDescent="0.3">
      <c r="A54" s="214" t="s">
        <v>518</v>
      </c>
      <c r="B54" s="216" t="s">
        <v>519</v>
      </c>
      <c r="C54" s="216" t="s">
        <v>520</v>
      </c>
    </row>
    <row r="55" spans="1:3" ht="14.4" x14ac:dyDescent="0.3">
      <c r="A55" s="214" t="s">
        <v>521</v>
      </c>
      <c r="B55" s="216" t="s">
        <v>522</v>
      </c>
      <c r="C55" s="216"/>
    </row>
    <row r="56" spans="1:3" ht="14.4" x14ac:dyDescent="0.3">
      <c r="A56" s="213" t="s">
        <v>449</v>
      </c>
      <c r="B56" s="216" t="s">
        <v>523</v>
      </c>
      <c r="C56" s="216" t="s">
        <v>524</v>
      </c>
    </row>
    <row r="57" spans="1:3" ht="14.4" x14ac:dyDescent="0.3">
      <c r="A57" s="213" t="s">
        <v>452</v>
      </c>
      <c r="B57" s="216" t="s">
        <v>525</v>
      </c>
      <c r="C57" s="216"/>
    </row>
    <row r="58" spans="1:3" ht="14.4" x14ac:dyDescent="0.3">
      <c r="A58" s="213" t="s">
        <v>455</v>
      </c>
      <c r="B58" s="216" t="s">
        <v>513</v>
      </c>
      <c r="C58" s="216" t="s">
        <v>526</v>
      </c>
    </row>
    <row r="59" spans="1:3" ht="14.4" x14ac:dyDescent="0.3">
      <c r="A59" s="213" t="s">
        <v>458</v>
      </c>
      <c r="B59" s="216" t="s">
        <v>527</v>
      </c>
      <c r="C59" s="216" t="s">
        <v>528</v>
      </c>
    </row>
    <row r="60" spans="1:3" ht="14.4" x14ac:dyDescent="0.3">
      <c r="A60" s="209" t="s">
        <v>529</v>
      </c>
      <c r="B60" s="209"/>
      <c r="C60" s="209"/>
    </row>
    <row r="61" spans="1:3" ht="14.4" x14ac:dyDescent="0.3">
      <c r="A61" s="220" t="s">
        <v>530</v>
      </c>
      <c r="B61" s="219" t="s">
        <v>531</v>
      </c>
      <c r="C61" s="219" t="s">
        <v>532</v>
      </c>
    </row>
  </sheetData>
  <customSheetViews>
    <customSheetView guid="{C845FD7F-3CB2-4CBC-892C-E2474769F660}">
      <pane ySplit="1" topLeftCell="A2" activePane="bottomLeft" state="frozen"/>
      <selection pane="bottomLeft" activeCell="A30" sqref="A30"/>
      <pageMargins left="0" right="0" top="0" bottom="0" header="0" footer="0"/>
      <pageSetup paperSize="9" orientation="portrait" horizontalDpi="1200" verticalDpi="1200" r:id="rId1"/>
    </customSheetView>
    <customSheetView guid="{25BFA7C9-9C08-4E2D-B44F-21E683ECAB75}">
      <pane ySplit="1" topLeftCell="A2" activePane="bottomLeft" state="frozen"/>
      <selection pane="bottomLeft" activeCell="A30" sqref="A30"/>
      <pageMargins left="0" right="0" top="0" bottom="0" header="0" footer="0"/>
      <pageSetup paperSize="9" orientation="portrait" horizontalDpi="1200" verticalDpi="1200" r:id="rId2"/>
    </customSheetView>
    <customSheetView guid="{7ADF16FD-9B7D-42F1-AFE6-6E8D21F9D09B}" showPageBreaks="1" hiddenRows="1" hiddenColumns="1">
      <selection activeCell="E8" sqref="E8"/>
      <pageMargins left="0" right="0" top="0" bottom="0" header="0" footer="0"/>
      <pageSetup paperSize="9" orientation="portrait" horizontalDpi="1200" verticalDpi="1200" r:id="rId3"/>
    </customSheetView>
    <customSheetView guid="{31D107EB-A48D-4232-90AA-7BB972732D83}" showPageBreaks="1" printArea="1" hiddenRows="1" hiddenColumns="1">
      <pane ySplit="1" topLeftCell="A2" activePane="bottomLeft" state="frozen"/>
      <selection pane="bottomLeft" activeCell="A32" sqref="A32"/>
      <pageMargins left="0" right="0" top="0" bottom="0" header="0" footer="0"/>
      <pageSetup paperSize="9" orientation="portrait" horizontalDpi="1200" verticalDpi="1200" r:id="rId4"/>
    </customSheetView>
    <customSheetView guid="{EE8DE643-7531-4BA6-A2AE-CA7A0FACFBB5}" fitToPage="1">
      <selection activeCell="A7" sqref="A7"/>
      <pageMargins left="0" right="0" top="0" bottom="0" header="0" footer="0"/>
      <pageSetup orientation="landscape" horizontalDpi="1200" verticalDpi="1200" r:id="rId5"/>
    </customSheetView>
    <customSheetView guid="{5E8C3AE4-233F-4E25-872C-6621CB9B96CA}">
      <pane ySplit="1" topLeftCell="A2" activePane="bottomLeft" state="frozen"/>
      <selection pane="bottomLeft" activeCell="A30" sqref="A30"/>
      <pageMargins left="0" right="0" top="0" bottom="0" header="0" footer="0"/>
      <pageSetup paperSize="9" orientation="portrait" horizontalDpi="1200" verticalDpi="1200" r:id="rId6"/>
    </customSheetView>
    <customSheetView guid="{E5A90478-501D-42C6-86FE-EBC9FB0438FD}">
      <pane ySplit="1" topLeftCell="A2" activePane="bottomLeft" state="frozen"/>
      <selection pane="bottomLeft" activeCell="A30" sqref="A30"/>
      <pageMargins left="0" right="0" top="0" bottom="0" header="0" footer="0"/>
      <pageSetup paperSize="9" orientation="portrait" horizontalDpi="1200" verticalDpi="1200" r:id="rId7"/>
    </customSheetView>
  </customSheetViews>
  <pageMargins left="0.19685039370078741" right="0.19685039370078741" top="0.19685039370078741" bottom="0.19685039370078741" header="0.31496062992125984" footer="0.31496062992125984"/>
  <pageSetup paperSize="9" orientation="portrait" horizontalDpi="1200" verticalDpi="1200"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1"/>
  <sheetViews>
    <sheetView workbookViewId="0">
      <selection activeCell="E26" sqref="E26"/>
    </sheetView>
  </sheetViews>
  <sheetFormatPr defaultColWidth="9.109375" defaultRowHeight="14.4" x14ac:dyDescent="0.3"/>
  <cols>
    <col min="1" max="2" width="9.109375" style="20"/>
    <col min="3" max="3" width="10.109375" style="20" bestFit="1" customWidth="1"/>
    <col min="4" max="4" width="9.109375" style="20"/>
    <col min="5" max="5" width="15" style="1" customWidth="1"/>
    <col min="6" max="6" width="10.109375" style="20" bestFit="1" customWidth="1"/>
    <col min="7" max="7" width="9.109375" style="20"/>
    <col min="8" max="8" width="3.6640625" style="1" bestFit="1" customWidth="1"/>
    <col min="9" max="9" width="10.109375" style="20" bestFit="1" customWidth="1"/>
    <col min="10" max="10" width="9.109375" style="20"/>
    <col min="11" max="11" width="3.6640625" style="1" bestFit="1" customWidth="1"/>
    <col min="12" max="12" width="10.109375" style="20" bestFit="1" customWidth="1"/>
    <col min="13" max="13" width="9.109375" style="20"/>
    <col min="14" max="14" width="3.6640625" style="1" bestFit="1" customWidth="1"/>
    <col min="15" max="16384" width="9.109375" style="20"/>
  </cols>
  <sheetData>
    <row r="1" spans="1:14" s="19" customFormat="1" ht="15.6" x14ac:dyDescent="0.3">
      <c r="A1" s="18"/>
      <c r="E1" s="21"/>
      <c r="H1" s="21"/>
      <c r="K1" s="21"/>
      <c r="N1" s="21"/>
    </row>
    <row r="2" spans="1:14" x14ac:dyDescent="0.3">
      <c r="A2" s="52" t="s">
        <v>556</v>
      </c>
      <c r="B2" s="22"/>
      <c r="C2" s="6"/>
      <c r="D2" s="6"/>
      <c r="E2" s="22"/>
      <c r="F2" s="6"/>
      <c r="G2" s="6"/>
    </row>
    <row r="3" spans="1:14" s="6" customFormat="1" x14ac:dyDescent="0.3">
      <c r="A3" s="20"/>
      <c r="B3" s="1"/>
      <c r="C3" s="20"/>
      <c r="D3" s="20"/>
      <c r="E3" s="1"/>
      <c r="F3" s="20"/>
      <c r="G3" s="20"/>
      <c r="H3" s="22"/>
      <c r="K3" s="22"/>
      <c r="N3" s="22"/>
    </row>
    <row r="4" spans="1:14" x14ac:dyDescent="0.3">
      <c r="B4" s="1"/>
    </row>
    <row r="5" spans="1:14" x14ac:dyDescent="0.3">
      <c r="B5" s="1"/>
    </row>
    <row r="6" spans="1:14" x14ac:dyDescent="0.3">
      <c r="B6" s="1"/>
    </row>
    <row r="7" spans="1:14" x14ac:dyDescent="0.3">
      <c r="B7" s="1"/>
    </row>
    <row r="8" spans="1:14" x14ac:dyDescent="0.3">
      <c r="B8" s="1"/>
    </row>
    <row r="9" spans="1:14" x14ac:dyDescent="0.3">
      <c r="B9" s="1"/>
    </row>
    <row r="10" spans="1:14" x14ac:dyDescent="0.3">
      <c r="B10" s="1"/>
    </row>
    <row r="11" spans="1:14" x14ac:dyDescent="0.3">
      <c r="B11" s="1"/>
    </row>
    <row r="12" spans="1:14" x14ac:dyDescent="0.3">
      <c r="B12" s="1"/>
    </row>
    <row r="13" spans="1:14" x14ac:dyDescent="0.3">
      <c r="B13" s="1"/>
    </row>
    <row r="14" spans="1:14" x14ac:dyDescent="0.3">
      <c r="B14" s="1"/>
    </row>
    <row r="15" spans="1:14" x14ac:dyDescent="0.3">
      <c r="B15" s="1"/>
    </row>
    <row r="16" spans="1:14" x14ac:dyDescent="0.3">
      <c r="B16" s="1"/>
    </row>
    <row r="17" spans="2:2" x14ac:dyDescent="0.3">
      <c r="B17" s="1"/>
    </row>
    <row r="18" spans="2:2" x14ac:dyDescent="0.3">
      <c r="B18" s="1"/>
    </row>
    <row r="19" spans="2:2" x14ac:dyDescent="0.3">
      <c r="B19" s="1"/>
    </row>
    <row r="20" spans="2:2" x14ac:dyDescent="0.3">
      <c r="B20" s="1"/>
    </row>
    <row r="41" ht="15" customHeight="1" x14ac:dyDescent="0.3"/>
  </sheetData>
  <pageMargins left="0.19685039370078741" right="0.19685039370078741" top="0.19685039370078741" bottom="0.19685039370078741" header="0.31496062992125984" footer="0.3149606299212598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F54"/>
  <sheetViews>
    <sheetView topLeftCell="A15" zoomScale="85" zoomScaleNormal="85" workbookViewId="0">
      <selection activeCell="B45" sqref="B45"/>
    </sheetView>
  </sheetViews>
  <sheetFormatPr defaultColWidth="9.109375" defaultRowHeight="14.4" x14ac:dyDescent="0.3"/>
  <cols>
    <col min="2" max="2" width="54" bestFit="1" customWidth="1"/>
    <col min="3" max="5" width="42.33203125" bestFit="1" customWidth="1"/>
    <col min="6" max="6" width="42.109375" bestFit="1" customWidth="1"/>
    <col min="7" max="7" width="36" bestFit="1" customWidth="1"/>
    <col min="8" max="8" width="41.109375" customWidth="1"/>
    <col min="9" max="10" width="25.109375" bestFit="1" customWidth="1"/>
    <col min="17" max="17" width="24.6640625" bestFit="1" customWidth="1"/>
  </cols>
  <sheetData>
    <row r="3" spans="2:2" ht="21" x14ac:dyDescent="0.4">
      <c r="B3" s="184" t="s">
        <v>832</v>
      </c>
    </row>
    <row r="4" spans="2:2" x14ac:dyDescent="0.3">
      <c r="B4" s="3"/>
    </row>
    <row r="6" spans="2:2" ht="21" x14ac:dyDescent="0.4">
      <c r="B6" s="184" t="s">
        <v>833</v>
      </c>
    </row>
    <row r="7" spans="2:2" x14ac:dyDescent="0.3">
      <c r="B7" s="3" t="s">
        <v>570</v>
      </c>
    </row>
    <row r="8" spans="2:2" x14ac:dyDescent="0.3">
      <c r="B8" s="3" t="s">
        <v>570</v>
      </c>
    </row>
    <row r="9" spans="2:2" x14ac:dyDescent="0.3">
      <c r="B9" s="3" t="s">
        <v>575</v>
      </c>
    </row>
    <row r="10" spans="2:2" x14ac:dyDescent="0.3">
      <c r="B10" s="3" t="s">
        <v>581</v>
      </c>
    </row>
    <row r="11" spans="2:2" x14ac:dyDescent="0.3">
      <c r="B11" s="3" t="s">
        <v>586</v>
      </c>
    </row>
    <row r="12" spans="2:2" x14ac:dyDescent="0.3">
      <c r="B12" s="3" t="s">
        <v>591</v>
      </c>
    </row>
    <row r="14" spans="2:2" ht="15" thickBot="1" x14ac:dyDescent="0.35"/>
    <row r="15" spans="2:2" ht="21.6" thickBot="1" x14ac:dyDescent="0.45">
      <c r="B15" s="185" t="s">
        <v>834</v>
      </c>
    </row>
    <row r="16" spans="2:2" x14ac:dyDescent="0.3">
      <c r="B16" s="186" t="s">
        <v>835</v>
      </c>
    </row>
    <row r="17" spans="2:6" x14ac:dyDescent="0.3">
      <c r="B17" s="187"/>
    </row>
    <row r="18" spans="2:6" x14ac:dyDescent="0.3">
      <c r="B18" s="187"/>
    </row>
    <row r="19" spans="2:6" x14ac:dyDescent="0.3">
      <c r="B19" s="187" t="s">
        <v>836</v>
      </c>
    </row>
    <row r="20" spans="2:6" x14ac:dyDescent="0.3">
      <c r="B20" s="187" t="s">
        <v>837</v>
      </c>
    </row>
    <row r="21" spans="2:6" x14ac:dyDescent="0.3">
      <c r="B21" s="187" t="s">
        <v>838</v>
      </c>
    </row>
    <row r="22" spans="2:6" x14ac:dyDescent="0.3">
      <c r="B22" s="187" t="s">
        <v>839</v>
      </c>
    </row>
    <row r="23" spans="2:6" x14ac:dyDescent="0.3">
      <c r="B23" s="187" t="s">
        <v>840</v>
      </c>
    </row>
    <row r="24" spans="2:6" x14ac:dyDescent="0.3">
      <c r="B24" s="187" t="s">
        <v>841</v>
      </c>
    </row>
    <row r="25" spans="2:6" x14ac:dyDescent="0.3">
      <c r="B25" s="187"/>
    </row>
    <row r="26" spans="2:6" x14ac:dyDescent="0.3">
      <c r="B26" s="187"/>
    </row>
    <row r="28" spans="2:6" ht="15" thickBot="1" x14ac:dyDescent="0.35"/>
    <row r="29" spans="2:6" ht="21.6" thickBot="1" x14ac:dyDescent="0.45">
      <c r="B29" s="188" t="s">
        <v>842</v>
      </c>
      <c r="C29" s="188" t="s">
        <v>843</v>
      </c>
      <c r="D29" s="188" t="s">
        <v>844</v>
      </c>
      <c r="E29" s="189" t="s">
        <v>845</v>
      </c>
      <c r="F29" s="189" t="s">
        <v>559</v>
      </c>
    </row>
    <row r="30" spans="2:6" x14ac:dyDescent="0.3">
      <c r="B30" s="190"/>
      <c r="C30" s="3"/>
      <c r="D30" s="3"/>
      <c r="E30" s="3"/>
      <c r="F30" s="176"/>
    </row>
    <row r="31" spans="2:6" x14ac:dyDescent="0.3">
      <c r="B31" s="3" t="s">
        <v>846</v>
      </c>
      <c r="C31" s="3"/>
      <c r="D31" s="3"/>
      <c r="E31" s="3"/>
      <c r="F31" s="176"/>
    </row>
    <row r="32" spans="2:6" x14ac:dyDescent="0.3">
      <c r="B32" s="3" t="s">
        <v>847</v>
      </c>
      <c r="C32" s="3"/>
      <c r="D32" s="3"/>
      <c r="E32" s="3"/>
      <c r="F32" s="176"/>
    </row>
    <row r="33" spans="2:6" x14ac:dyDescent="0.3">
      <c r="B33" s="3" t="s">
        <v>848</v>
      </c>
      <c r="C33" s="3"/>
      <c r="D33" s="3"/>
      <c r="E33" s="3"/>
      <c r="F33" s="176"/>
    </row>
    <row r="34" spans="2:6" x14ac:dyDescent="0.3">
      <c r="B34" s="3" t="s">
        <v>849</v>
      </c>
      <c r="C34" s="3"/>
      <c r="D34" s="3"/>
      <c r="E34" s="3"/>
      <c r="F34" s="176"/>
    </row>
    <row r="35" spans="2:6" x14ac:dyDescent="0.3">
      <c r="B35" s="3" t="s">
        <v>850</v>
      </c>
      <c r="C35" s="3"/>
      <c r="D35" s="3"/>
      <c r="E35" s="3"/>
      <c r="F35" s="176"/>
    </row>
    <row r="36" spans="2:6" x14ac:dyDescent="0.3">
      <c r="B36" s="3" t="s">
        <v>851</v>
      </c>
      <c r="C36" s="3"/>
      <c r="D36" s="3"/>
      <c r="E36" s="3"/>
      <c r="F36" s="176"/>
    </row>
    <row r="37" spans="2:6" x14ac:dyDescent="0.3">
      <c r="B37" s="3" t="s">
        <v>852</v>
      </c>
      <c r="C37" s="3"/>
      <c r="D37" s="3"/>
      <c r="E37" s="3"/>
      <c r="F37" s="176"/>
    </row>
    <row r="38" spans="2:6" x14ac:dyDescent="0.3">
      <c r="B38" s="3" t="s">
        <v>853</v>
      </c>
      <c r="C38" s="3"/>
      <c r="D38" s="3"/>
      <c r="E38" s="3"/>
      <c r="F38" s="176"/>
    </row>
    <row r="39" spans="2:6" x14ac:dyDescent="0.3">
      <c r="B39" s="3" t="s">
        <v>854</v>
      </c>
      <c r="C39" s="3"/>
      <c r="D39" s="3"/>
      <c r="E39" s="3"/>
      <c r="F39" s="176"/>
    </row>
    <row r="40" spans="2:6" x14ac:dyDescent="0.3">
      <c r="B40" s="3" t="s">
        <v>855</v>
      </c>
      <c r="C40" s="3"/>
      <c r="D40" s="3"/>
      <c r="E40" s="3"/>
      <c r="F40" s="176"/>
    </row>
    <row r="41" spans="2:6" x14ac:dyDescent="0.3">
      <c r="B41" s="3" t="s">
        <v>856</v>
      </c>
      <c r="C41" s="3"/>
      <c r="D41" s="3"/>
      <c r="E41" s="3"/>
      <c r="F41" s="176"/>
    </row>
    <row r="42" spans="2:6" x14ac:dyDescent="0.3">
      <c r="B42" s="3" t="s">
        <v>857</v>
      </c>
      <c r="C42" s="3"/>
      <c r="D42" s="3"/>
      <c r="E42" s="3"/>
      <c r="F42" s="176"/>
    </row>
    <row r="43" spans="2:6" x14ac:dyDescent="0.3">
      <c r="B43" s="3" t="s">
        <v>858</v>
      </c>
      <c r="C43" s="3"/>
      <c r="D43" s="3"/>
      <c r="E43" s="3"/>
      <c r="F43" s="176"/>
    </row>
    <row r="44" spans="2:6" x14ac:dyDescent="0.3">
      <c r="B44" s="3" t="s">
        <v>859</v>
      </c>
      <c r="C44" s="3"/>
      <c r="D44" s="3"/>
      <c r="E44" s="3"/>
      <c r="F44" s="176"/>
    </row>
    <row r="45" spans="2:6" x14ac:dyDescent="0.3">
      <c r="B45" s="3" t="s">
        <v>860</v>
      </c>
      <c r="C45" s="3"/>
      <c r="D45" s="3"/>
      <c r="E45" s="3"/>
      <c r="F45" s="176"/>
    </row>
    <row r="46" spans="2:6" x14ac:dyDescent="0.3">
      <c r="B46" s="3" t="s">
        <v>861</v>
      </c>
      <c r="C46" s="3"/>
      <c r="D46" s="3"/>
      <c r="E46" s="3"/>
      <c r="F46" s="176"/>
    </row>
    <row r="47" spans="2:6" x14ac:dyDescent="0.3">
      <c r="B47" s="3" t="s">
        <v>862</v>
      </c>
      <c r="C47" s="3"/>
      <c r="D47" s="3"/>
      <c r="E47" s="3"/>
      <c r="F47" s="176"/>
    </row>
    <row r="48" spans="2:6" x14ac:dyDescent="0.3">
      <c r="B48" s="3" t="s">
        <v>863</v>
      </c>
      <c r="C48" s="3"/>
      <c r="D48" s="3"/>
      <c r="E48" s="3"/>
      <c r="F48" s="176"/>
    </row>
    <row r="49" spans="2:6" x14ac:dyDescent="0.3">
      <c r="B49" s="3" t="s">
        <v>864</v>
      </c>
      <c r="C49" s="3"/>
      <c r="D49" s="3"/>
      <c r="E49" s="3"/>
      <c r="F49" s="176"/>
    </row>
    <row r="50" spans="2:6" x14ac:dyDescent="0.3">
      <c r="B50" s="3" t="s">
        <v>865</v>
      </c>
      <c r="C50" s="3"/>
      <c r="D50" s="3"/>
      <c r="E50" s="3"/>
      <c r="F50" s="176"/>
    </row>
    <row r="51" spans="2:6" x14ac:dyDescent="0.3">
      <c r="B51" s="3"/>
      <c r="C51" s="3"/>
      <c r="D51" s="3"/>
      <c r="E51" s="3"/>
      <c r="F51" s="176"/>
    </row>
    <row r="52" spans="2:6" x14ac:dyDescent="0.3">
      <c r="B52" s="3" t="s">
        <v>866</v>
      </c>
      <c r="C52" s="3"/>
      <c r="D52" s="3"/>
      <c r="E52" s="3"/>
      <c r="F52" s="176"/>
    </row>
    <row r="53" spans="2:6" x14ac:dyDescent="0.3">
      <c r="B53" s="3" t="s">
        <v>867</v>
      </c>
      <c r="C53" s="3"/>
      <c r="D53" s="3"/>
      <c r="E53" s="3"/>
      <c r="F53" s="176"/>
    </row>
    <row r="54" spans="2:6" x14ac:dyDescent="0.3">
      <c r="B54" s="3"/>
      <c r="C54" s="3"/>
      <c r="D54" s="3"/>
      <c r="E54" s="3"/>
      <c r="F54" s="176"/>
    </row>
  </sheetData>
  <dataValidations count="1">
    <dataValidation type="list" allowBlank="1" showInputMessage="1" showErrorMessage="1" sqref="C30:F54" xr:uid="{00000000-0002-0000-0C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7"/>
  <sheetViews>
    <sheetView workbookViewId="0">
      <pane ySplit="1" topLeftCell="A2" activePane="bottomLeft" state="frozen"/>
      <selection pane="bottomLeft" activeCell="D6" sqref="D6"/>
    </sheetView>
  </sheetViews>
  <sheetFormatPr defaultColWidth="9.109375" defaultRowHeight="14.4" x14ac:dyDescent="0.3"/>
  <cols>
    <col min="1" max="1" width="10.109375" style="81" bestFit="1" customWidth="1"/>
    <col min="2" max="2" width="9.109375" style="82"/>
    <col min="3" max="3" width="12.33203125" style="81" bestFit="1" customWidth="1"/>
    <col min="4" max="4" width="31.109375" style="81" customWidth="1"/>
    <col min="5" max="5" width="5.6640625" style="81" customWidth="1"/>
    <col min="6" max="6" width="10.6640625" style="80" bestFit="1" customWidth="1"/>
    <col min="7" max="7" width="5" style="81" bestFit="1" customWidth="1"/>
    <col min="8" max="8" width="12.109375" style="81" bestFit="1" customWidth="1"/>
    <col min="9" max="9" width="33.6640625" style="81" bestFit="1" customWidth="1"/>
    <col min="10" max="10" width="5.6640625" style="81" customWidth="1"/>
    <col min="11" max="11" width="28" customWidth="1"/>
    <col min="12" max="12" width="6.33203125" bestFit="1" customWidth="1"/>
    <col min="13" max="13" width="15" bestFit="1" customWidth="1"/>
    <col min="14" max="14" width="20.6640625" bestFit="1" customWidth="1"/>
  </cols>
  <sheetData>
    <row r="1" spans="1:14" ht="25.2" thickBot="1" x14ac:dyDescent="0.45">
      <c r="A1" s="263" t="s">
        <v>868</v>
      </c>
      <c r="B1" s="264"/>
      <c r="C1" s="264"/>
      <c r="D1" s="265"/>
      <c r="E1" s="192"/>
      <c r="F1" s="263">
        <v>800</v>
      </c>
      <c r="G1" s="264"/>
      <c r="H1" s="264"/>
      <c r="I1" s="265"/>
      <c r="J1" s="192"/>
      <c r="K1" s="263">
        <v>933</v>
      </c>
      <c r="L1" s="264"/>
      <c r="M1" s="264"/>
      <c r="N1" s="265"/>
    </row>
    <row r="2" spans="1:14" ht="15" thickBot="1" x14ac:dyDescent="0.35">
      <c r="A2" s="53" t="s">
        <v>869</v>
      </c>
      <c r="B2" s="54" t="s">
        <v>870</v>
      </c>
      <c r="C2" s="55" t="s">
        <v>871</v>
      </c>
      <c r="D2" s="56" t="s">
        <v>1</v>
      </c>
      <c r="E2" s="90"/>
      <c r="F2" s="53" t="s">
        <v>869</v>
      </c>
      <c r="G2" s="54" t="s">
        <v>870</v>
      </c>
      <c r="H2" s="55" t="s">
        <v>871</v>
      </c>
      <c r="I2" s="56" t="s">
        <v>1</v>
      </c>
      <c r="J2" s="90"/>
      <c r="K2" s="53" t="s">
        <v>869</v>
      </c>
      <c r="L2" s="136" t="s">
        <v>870</v>
      </c>
      <c r="M2" s="55" t="s">
        <v>871</v>
      </c>
      <c r="N2" s="56" t="s">
        <v>1</v>
      </c>
    </row>
    <row r="3" spans="1:14" ht="15" customHeight="1" x14ac:dyDescent="0.3">
      <c r="A3" s="57" t="s">
        <v>872</v>
      </c>
      <c r="B3" s="60">
        <v>9</v>
      </c>
      <c r="C3" s="61" t="s">
        <v>873</v>
      </c>
      <c r="D3" s="62" t="s">
        <v>100</v>
      </c>
      <c r="E3" s="91"/>
      <c r="F3" s="57" t="s">
        <v>874</v>
      </c>
      <c r="G3" s="58">
        <v>1</v>
      </c>
      <c r="H3" s="59" t="s">
        <v>179</v>
      </c>
      <c r="I3" s="85" t="s">
        <v>178</v>
      </c>
      <c r="J3" s="91"/>
      <c r="K3" s="63" t="s">
        <v>875</v>
      </c>
      <c r="L3" s="137" t="s">
        <v>285</v>
      </c>
      <c r="M3" s="59" t="s">
        <v>179</v>
      </c>
      <c r="N3" s="85" t="s">
        <v>876</v>
      </c>
    </row>
    <row r="4" spans="1:14" x14ac:dyDescent="0.3">
      <c r="A4" s="97" t="s">
        <v>872</v>
      </c>
      <c r="B4" s="98">
        <v>10</v>
      </c>
      <c r="C4" s="99" t="s">
        <v>877</v>
      </c>
      <c r="D4" s="100" t="s">
        <v>103</v>
      </c>
      <c r="E4" s="101"/>
      <c r="F4" s="102" t="s">
        <v>874</v>
      </c>
      <c r="G4" s="103">
        <v>2</v>
      </c>
      <c r="H4" s="104" t="s">
        <v>182</v>
      </c>
      <c r="I4" s="105" t="s">
        <v>180</v>
      </c>
      <c r="J4" s="101"/>
      <c r="K4" s="102" t="s">
        <v>875</v>
      </c>
      <c r="L4" s="138" t="s">
        <v>290</v>
      </c>
      <c r="M4" s="106" t="s">
        <v>182</v>
      </c>
      <c r="N4" s="107" t="s">
        <v>103</v>
      </c>
    </row>
    <row r="5" spans="1:14" x14ac:dyDescent="0.3">
      <c r="A5" s="57" t="s">
        <v>872</v>
      </c>
      <c r="B5" s="24">
        <v>11</v>
      </c>
      <c r="C5" s="64" t="s">
        <v>878</v>
      </c>
      <c r="D5" s="65" t="s">
        <v>106</v>
      </c>
      <c r="E5" s="92"/>
      <c r="F5" s="63" t="s">
        <v>874</v>
      </c>
      <c r="G5" s="41">
        <v>3</v>
      </c>
      <c r="H5" s="33" t="s">
        <v>184</v>
      </c>
      <c r="I5" s="86" t="s">
        <v>183</v>
      </c>
      <c r="J5" s="92"/>
      <c r="K5" s="63" t="s">
        <v>875</v>
      </c>
      <c r="L5" s="139" t="s">
        <v>289</v>
      </c>
      <c r="M5" s="40" t="s">
        <v>184</v>
      </c>
      <c r="N5" s="87" t="s">
        <v>106</v>
      </c>
    </row>
    <row r="6" spans="1:14" x14ac:dyDescent="0.3">
      <c r="A6" s="97" t="s">
        <v>879</v>
      </c>
      <c r="B6" s="98">
        <v>4</v>
      </c>
      <c r="C6" s="99" t="s">
        <v>880</v>
      </c>
      <c r="D6" s="100" t="s">
        <v>120</v>
      </c>
      <c r="E6" s="101"/>
      <c r="F6" s="102" t="s">
        <v>874</v>
      </c>
      <c r="G6" s="103">
        <v>4</v>
      </c>
      <c r="H6" s="104" t="s">
        <v>185</v>
      </c>
      <c r="I6" s="105" t="s">
        <v>120</v>
      </c>
      <c r="J6" s="101"/>
      <c r="K6" s="102" t="s">
        <v>875</v>
      </c>
      <c r="L6" s="138" t="s">
        <v>269</v>
      </c>
      <c r="M6" s="106" t="s">
        <v>185</v>
      </c>
      <c r="N6" s="107" t="s">
        <v>383</v>
      </c>
    </row>
    <row r="7" spans="1:14" x14ac:dyDescent="0.3">
      <c r="A7" s="57" t="s">
        <v>879</v>
      </c>
      <c r="B7" s="24">
        <v>3</v>
      </c>
      <c r="C7" s="64" t="s">
        <v>881</v>
      </c>
      <c r="D7" s="65" t="s">
        <v>117</v>
      </c>
      <c r="E7" s="92"/>
      <c r="F7" s="63" t="s">
        <v>874</v>
      </c>
      <c r="G7" s="41">
        <v>5</v>
      </c>
      <c r="H7" s="33" t="s">
        <v>186</v>
      </c>
      <c r="I7" s="86" t="s">
        <v>117</v>
      </c>
      <c r="J7" s="92"/>
      <c r="K7" s="63" t="s">
        <v>875</v>
      </c>
      <c r="L7" s="139" t="s">
        <v>272</v>
      </c>
      <c r="M7" s="40" t="s">
        <v>186</v>
      </c>
      <c r="N7" s="87" t="s">
        <v>385</v>
      </c>
    </row>
    <row r="8" spans="1:14" x14ac:dyDescent="0.3">
      <c r="A8" s="97" t="s">
        <v>879</v>
      </c>
      <c r="B8" s="98">
        <v>1</v>
      </c>
      <c r="C8" s="99" t="s">
        <v>882</v>
      </c>
      <c r="D8" s="100" t="s">
        <v>112</v>
      </c>
      <c r="E8" s="101"/>
      <c r="F8" s="102" t="s">
        <v>874</v>
      </c>
      <c r="G8" s="103">
        <v>6</v>
      </c>
      <c r="H8" s="106" t="s">
        <v>188</v>
      </c>
      <c r="I8" s="107" t="s">
        <v>187</v>
      </c>
      <c r="J8" s="101"/>
      <c r="K8" s="102" t="s">
        <v>875</v>
      </c>
      <c r="L8" s="138" t="s">
        <v>282</v>
      </c>
      <c r="M8" s="106" t="s">
        <v>883</v>
      </c>
      <c r="N8" s="107" t="s">
        <v>389</v>
      </c>
    </row>
    <row r="9" spans="1:14" x14ac:dyDescent="0.3">
      <c r="A9" s="57" t="s">
        <v>879</v>
      </c>
      <c r="B9" s="24">
        <v>5</v>
      </c>
      <c r="C9" s="64" t="s">
        <v>884</v>
      </c>
      <c r="D9" s="65" t="s">
        <v>123</v>
      </c>
      <c r="E9" s="92"/>
      <c r="F9" s="63" t="s">
        <v>874</v>
      </c>
      <c r="G9" s="41">
        <v>7</v>
      </c>
      <c r="H9" s="40" t="s">
        <v>189</v>
      </c>
      <c r="I9" s="84" t="s">
        <v>123</v>
      </c>
      <c r="J9" s="92"/>
      <c r="K9" s="63" t="s">
        <v>875</v>
      </c>
      <c r="L9" s="139" t="s">
        <v>279</v>
      </c>
      <c r="M9" s="40" t="s">
        <v>189</v>
      </c>
      <c r="N9" s="87" t="s">
        <v>388</v>
      </c>
    </row>
    <row r="10" spans="1:14" x14ac:dyDescent="0.3">
      <c r="A10" s="97" t="s">
        <v>879</v>
      </c>
      <c r="B10" s="98">
        <v>6</v>
      </c>
      <c r="C10" s="99" t="s">
        <v>885</v>
      </c>
      <c r="D10" s="100" t="s">
        <v>125</v>
      </c>
      <c r="E10" s="101"/>
      <c r="F10" s="102" t="s">
        <v>874</v>
      </c>
      <c r="G10" s="103">
        <v>8</v>
      </c>
      <c r="H10" s="106" t="s">
        <v>190</v>
      </c>
      <c r="I10" s="107" t="s">
        <v>125</v>
      </c>
      <c r="J10" s="101"/>
      <c r="K10" s="102" t="s">
        <v>875</v>
      </c>
      <c r="L10" s="138" t="s">
        <v>275</v>
      </c>
      <c r="M10" s="106" t="s">
        <v>190</v>
      </c>
      <c r="N10" s="107" t="s">
        <v>387</v>
      </c>
    </row>
    <row r="11" spans="1:14" x14ac:dyDescent="0.3">
      <c r="A11" s="57" t="s">
        <v>872</v>
      </c>
      <c r="B11" s="24">
        <v>8</v>
      </c>
      <c r="C11" s="64" t="s">
        <v>886</v>
      </c>
      <c r="D11" s="65" t="s">
        <v>96</v>
      </c>
      <c r="E11" s="92"/>
      <c r="F11" s="63" t="s">
        <v>874</v>
      </c>
      <c r="G11" s="41">
        <v>9</v>
      </c>
      <c r="H11" s="40" t="s">
        <v>192</v>
      </c>
      <c r="I11" s="84" t="s">
        <v>191</v>
      </c>
      <c r="J11" s="92"/>
      <c r="K11" s="63" t="s">
        <v>875</v>
      </c>
      <c r="L11" s="137" t="s">
        <v>285</v>
      </c>
      <c r="M11" s="40" t="s">
        <v>179</v>
      </c>
      <c r="N11" s="87" t="s">
        <v>876</v>
      </c>
    </row>
    <row r="12" spans="1:14" x14ac:dyDescent="0.3">
      <c r="A12" s="97" t="s">
        <v>872</v>
      </c>
      <c r="B12" s="98">
        <v>1</v>
      </c>
      <c r="C12" s="99" t="s">
        <v>887</v>
      </c>
      <c r="D12" s="100" t="s">
        <v>68</v>
      </c>
      <c r="E12" s="101"/>
      <c r="F12" s="102" t="s">
        <v>874</v>
      </c>
      <c r="G12" s="103">
        <v>10</v>
      </c>
      <c r="H12" s="106" t="s">
        <v>194</v>
      </c>
      <c r="I12" s="107" t="s">
        <v>193</v>
      </c>
      <c r="J12" s="101"/>
      <c r="K12" s="102" t="s">
        <v>888</v>
      </c>
      <c r="L12" s="138" t="s">
        <v>269</v>
      </c>
      <c r="M12" s="106" t="s">
        <v>70</v>
      </c>
      <c r="N12" s="107" t="s">
        <v>335</v>
      </c>
    </row>
    <row r="13" spans="1:14" x14ac:dyDescent="0.3">
      <c r="A13" s="66"/>
      <c r="B13" s="24"/>
      <c r="C13" s="64" t="s">
        <v>889</v>
      </c>
      <c r="D13" s="65"/>
      <c r="E13" s="92"/>
      <c r="F13" s="63" t="s">
        <v>874</v>
      </c>
      <c r="G13" s="41">
        <v>11</v>
      </c>
      <c r="H13" s="40" t="s">
        <v>196</v>
      </c>
      <c r="I13" s="84" t="s">
        <v>195</v>
      </c>
      <c r="J13" s="92"/>
      <c r="K13" s="102" t="s">
        <v>888</v>
      </c>
      <c r="L13" s="139">
        <v>6</v>
      </c>
      <c r="M13" s="40" t="s">
        <v>236</v>
      </c>
      <c r="N13" s="87" t="s">
        <v>890</v>
      </c>
    </row>
    <row r="14" spans="1:14" x14ac:dyDescent="0.3">
      <c r="A14" s="97" t="s">
        <v>872</v>
      </c>
      <c r="B14" s="98">
        <v>7</v>
      </c>
      <c r="C14" s="99" t="s">
        <v>891</v>
      </c>
      <c r="D14" s="100" t="s">
        <v>93</v>
      </c>
      <c r="E14" s="101"/>
      <c r="F14" s="102" t="s">
        <v>874</v>
      </c>
      <c r="G14" s="103">
        <v>12</v>
      </c>
      <c r="H14" s="106" t="s">
        <v>198</v>
      </c>
      <c r="I14" s="107" t="s">
        <v>197</v>
      </c>
      <c r="J14" s="101"/>
      <c r="K14" s="102" t="s">
        <v>888</v>
      </c>
      <c r="L14" s="138" t="s">
        <v>289</v>
      </c>
      <c r="M14" s="106" t="s">
        <v>271</v>
      </c>
      <c r="N14" s="107" t="s">
        <v>892</v>
      </c>
    </row>
    <row r="15" spans="1:14" x14ac:dyDescent="0.3">
      <c r="A15" s="66"/>
      <c r="B15" s="24"/>
      <c r="C15" s="64" t="s">
        <v>889</v>
      </c>
      <c r="D15" s="65"/>
      <c r="E15" s="92"/>
      <c r="F15" s="63" t="s">
        <v>874</v>
      </c>
      <c r="G15" s="41">
        <v>13</v>
      </c>
      <c r="H15" s="40" t="s">
        <v>200</v>
      </c>
      <c r="I15" s="84" t="s">
        <v>199</v>
      </c>
      <c r="J15" s="92"/>
      <c r="K15" s="63" t="s">
        <v>888</v>
      </c>
      <c r="L15" s="139" t="s">
        <v>294</v>
      </c>
      <c r="M15" s="40" t="s">
        <v>359</v>
      </c>
      <c r="N15" s="87" t="s">
        <v>357</v>
      </c>
    </row>
    <row r="16" spans="1:14" x14ac:dyDescent="0.3">
      <c r="A16" s="97" t="s">
        <v>872</v>
      </c>
      <c r="B16" s="98">
        <v>6</v>
      </c>
      <c r="C16" s="99" t="s">
        <v>893</v>
      </c>
      <c r="D16" s="100" t="s">
        <v>89</v>
      </c>
      <c r="E16" s="101"/>
      <c r="F16" s="102" t="s">
        <v>874</v>
      </c>
      <c r="G16" s="103">
        <v>14</v>
      </c>
      <c r="H16" s="106" t="s">
        <v>202</v>
      </c>
      <c r="I16" s="107" t="s">
        <v>201</v>
      </c>
      <c r="J16" s="101"/>
      <c r="K16" s="102" t="s">
        <v>888</v>
      </c>
      <c r="L16" s="138" t="s">
        <v>290</v>
      </c>
      <c r="M16" s="106" t="s">
        <v>894</v>
      </c>
      <c r="N16" s="107" t="s">
        <v>349</v>
      </c>
    </row>
    <row r="17" spans="1:14" x14ac:dyDescent="0.3">
      <c r="A17" s="66"/>
      <c r="B17" s="24"/>
      <c r="C17" s="64" t="s">
        <v>895</v>
      </c>
      <c r="D17" s="65"/>
      <c r="E17" s="92"/>
      <c r="F17" s="63" t="s">
        <v>874</v>
      </c>
      <c r="G17" s="41">
        <v>15</v>
      </c>
      <c r="H17" s="40" t="s">
        <v>204</v>
      </c>
      <c r="I17" s="87" t="s">
        <v>203</v>
      </c>
      <c r="J17" s="92"/>
      <c r="K17" s="63" t="s">
        <v>172</v>
      </c>
      <c r="L17" s="139" t="s">
        <v>172</v>
      </c>
      <c r="M17" s="40" t="s">
        <v>172</v>
      </c>
      <c r="N17" s="87" t="s">
        <v>172</v>
      </c>
    </row>
    <row r="18" spans="1:14" ht="15" thickBot="1" x14ac:dyDescent="0.35">
      <c r="A18" s="97" t="s">
        <v>879</v>
      </c>
      <c r="B18" s="108">
        <v>2</v>
      </c>
      <c r="C18" s="109" t="s">
        <v>896</v>
      </c>
      <c r="D18" s="110" t="s">
        <v>115</v>
      </c>
      <c r="E18" s="111"/>
      <c r="F18" s="112" t="s">
        <v>874</v>
      </c>
      <c r="G18" s="113">
        <v>16</v>
      </c>
      <c r="H18" s="114" t="s">
        <v>205</v>
      </c>
      <c r="I18" s="115" t="s">
        <v>115</v>
      </c>
      <c r="J18" s="111"/>
      <c r="K18" s="102" t="s">
        <v>875</v>
      </c>
      <c r="L18" s="138" t="s">
        <v>282</v>
      </c>
      <c r="M18" s="106" t="s">
        <v>883</v>
      </c>
      <c r="N18" s="107" t="s">
        <v>389</v>
      </c>
    </row>
    <row r="19" spans="1:14" ht="15" thickBot="1" x14ac:dyDescent="0.35">
      <c r="A19" s="53" t="s">
        <v>869</v>
      </c>
      <c r="B19" s="54" t="s">
        <v>870</v>
      </c>
      <c r="C19" s="55" t="s">
        <v>871</v>
      </c>
      <c r="D19" s="72"/>
      <c r="E19" s="94"/>
      <c r="F19" s="53" t="s">
        <v>869</v>
      </c>
      <c r="G19" s="54" t="s">
        <v>870</v>
      </c>
      <c r="H19" s="55" t="s">
        <v>871</v>
      </c>
      <c r="I19" s="72"/>
      <c r="J19" s="94"/>
      <c r="K19" s="53"/>
      <c r="L19" s="136"/>
      <c r="M19" s="55"/>
      <c r="N19" s="72"/>
    </row>
    <row r="20" spans="1:14" ht="15" thickBot="1" x14ac:dyDescent="0.35">
      <c r="A20" s="73" t="s">
        <v>897</v>
      </c>
      <c r="B20" s="74">
        <v>1</v>
      </c>
      <c r="C20" s="75" t="s">
        <v>322</v>
      </c>
      <c r="D20" s="76" t="s">
        <v>898</v>
      </c>
      <c r="E20" s="91"/>
      <c r="F20" s="57" t="s">
        <v>899</v>
      </c>
      <c r="G20" s="58">
        <v>1</v>
      </c>
      <c r="H20" s="59" t="s">
        <v>208</v>
      </c>
      <c r="I20" s="85" t="s">
        <v>207</v>
      </c>
      <c r="J20" s="91"/>
      <c r="K20" s="57" t="s">
        <v>172</v>
      </c>
      <c r="L20" s="137" t="s">
        <v>172</v>
      </c>
      <c r="M20" s="59" t="s">
        <v>172</v>
      </c>
      <c r="N20" s="85" t="s">
        <v>172</v>
      </c>
    </row>
    <row r="21" spans="1:14" ht="15" thickBot="1" x14ac:dyDescent="0.35">
      <c r="A21" s="116" t="s">
        <v>897</v>
      </c>
      <c r="B21" s="98">
        <v>4</v>
      </c>
      <c r="C21" s="117" t="s">
        <v>196</v>
      </c>
      <c r="D21" s="100" t="s">
        <v>900</v>
      </c>
      <c r="E21" s="101"/>
      <c r="F21" s="102" t="s">
        <v>899</v>
      </c>
      <c r="G21" s="103">
        <v>2</v>
      </c>
      <c r="H21" s="106" t="s">
        <v>210</v>
      </c>
      <c r="I21" s="107" t="s">
        <v>209</v>
      </c>
      <c r="J21" s="101"/>
      <c r="K21" s="102" t="s">
        <v>888</v>
      </c>
      <c r="L21" s="138" t="s">
        <v>901</v>
      </c>
      <c r="M21" s="106" t="s">
        <v>210</v>
      </c>
      <c r="N21" s="107" t="s">
        <v>902</v>
      </c>
    </row>
    <row r="22" spans="1:14" x14ac:dyDescent="0.3">
      <c r="A22" s="73" t="s">
        <v>897</v>
      </c>
      <c r="B22" s="24">
        <v>5</v>
      </c>
      <c r="C22" s="16" t="s">
        <v>351</v>
      </c>
      <c r="D22" s="65" t="s">
        <v>903</v>
      </c>
      <c r="E22" s="92"/>
      <c r="F22" s="63" t="s">
        <v>899</v>
      </c>
      <c r="G22" s="41">
        <v>3</v>
      </c>
      <c r="H22" s="40" t="s">
        <v>212</v>
      </c>
      <c r="I22" s="84" t="s">
        <v>211</v>
      </c>
      <c r="J22" s="92"/>
      <c r="K22" s="63" t="s">
        <v>888</v>
      </c>
      <c r="L22" s="139" t="s">
        <v>904</v>
      </c>
      <c r="M22" s="40" t="s">
        <v>378</v>
      </c>
      <c r="N22" s="84" t="s">
        <v>377</v>
      </c>
    </row>
    <row r="23" spans="1:14" ht="15" thickBot="1" x14ac:dyDescent="0.35">
      <c r="A23" s="118" t="s">
        <v>172</v>
      </c>
      <c r="B23" s="98" t="s">
        <v>172</v>
      </c>
      <c r="C23" s="119" t="s">
        <v>172</v>
      </c>
      <c r="D23" s="100" t="s">
        <v>172</v>
      </c>
      <c r="E23" s="101"/>
      <c r="F23" s="102" t="s">
        <v>899</v>
      </c>
      <c r="G23" s="103">
        <v>4</v>
      </c>
      <c r="H23" s="106" t="s">
        <v>204</v>
      </c>
      <c r="I23" s="107"/>
      <c r="J23" s="101"/>
      <c r="K23" s="102"/>
      <c r="L23" s="138"/>
      <c r="M23" s="106"/>
      <c r="N23" s="107"/>
    </row>
    <row r="24" spans="1:14" x14ac:dyDescent="0.3">
      <c r="A24" s="73" t="s">
        <v>897</v>
      </c>
      <c r="B24" s="24">
        <v>7</v>
      </c>
      <c r="C24" s="16" t="s">
        <v>247</v>
      </c>
      <c r="D24" s="65" t="s">
        <v>905</v>
      </c>
      <c r="E24" s="92"/>
      <c r="F24" s="63" t="s">
        <v>899</v>
      </c>
      <c r="G24" s="41">
        <v>5</v>
      </c>
      <c r="H24" s="40" t="s">
        <v>214</v>
      </c>
      <c r="I24" s="84" t="s">
        <v>213</v>
      </c>
      <c r="J24" s="92"/>
      <c r="K24" s="102" t="s">
        <v>888</v>
      </c>
      <c r="L24" s="139">
        <v>18</v>
      </c>
      <c r="M24" s="40" t="s">
        <v>184</v>
      </c>
      <c r="N24" s="84" t="s">
        <v>373</v>
      </c>
    </row>
    <row r="25" spans="1:14" x14ac:dyDescent="0.3">
      <c r="A25" s="118" t="s">
        <v>172</v>
      </c>
      <c r="B25" s="98" t="s">
        <v>172</v>
      </c>
      <c r="C25" s="119" t="s">
        <v>172</v>
      </c>
      <c r="D25" s="100" t="s">
        <v>172</v>
      </c>
      <c r="E25" s="101"/>
      <c r="F25" s="102" t="s">
        <v>899</v>
      </c>
      <c r="G25" s="103">
        <v>6</v>
      </c>
      <c r="H25" s="106" t="s">
        <v>216</v>
      </c>
      <c r="I25" s="107" t="s">
        <v>215</v>
      </c>
      <c r="J25" s="101"/>
      <c r="K25" s="102" t="s">
        <v>888</v>
      </c>
      <c r="L25" s="138" t="s">
        <v>906</v>
      </c>
      <c r="M25" s="106" t="s">
        <v>216</v>
      </c>
      <c r="N25" s="107" t="s">
        <v>381</v>
      </c>
    </row>
    <row r="26" spans="1:14" x14ac:dyDescent="0.3">
      <c r="A26" s="57" t="s">
        <v>872</v>
      </c>
      <c r="B26" s="24">
        <v>12</v>
      </c>
      <c r="C26" s="16" t="s">
        <v>228</v>
      </c>
      <c r="D26" s="65" t="s">
        <v>907</v>
      </c>
      <c r="E26" s="92"/>
      <c r="F26" s="63" t="s">
        <v>899</v>
      </c>
      <c r="G26" s="41">
        <v>7</v>
      </c>
      <c r="H26" s="40" t="s">
        <v>218</v>
      </c>
      <c r="I26" s="84" t="s">
        <v>217</v>
      </c>
      <c r="J26" s="92"/>
      <c r="K26" s="63" t="s">
        <v>888</v>
      </c>
      <c r="L26" s="139" t="s">
        <v>292</v>
      </c>
      <c r="M26" s="40" t="s">
        <v>354</v>
      </c>
      <c r="N26" s="84" t="s">
        <v>352</v>
      </c>
    </row>
    <row r="27" spans="1:14" x14ac:dyDescent="0.3">
      <c r="A27" s="118" t="s">
        <v>172</v>
      </c>
      <c r="B27" s="98" t="s">
        <v>172</v>
      </c>
      <c r="C27" s="119" t="s">
        <v>172</v>
      </c>
      <c r="D27" s="100" t="s">
        <v>172</v>
      </c>
      <c r="E27" s="101"/>
      <c r="F27" s="102" t="s">
        <v>899</v>
      </c>
      <c r="G27" s="103">
        <v>8</v>
      </c>
      <c r="H27" s="106" t="s">
        <v>220</v>
      </c>
      <c r="I27" s="107" t="s">
        <v>219</v>
      </c>
      <c r="J27" s="101"/>
      <c r="K27" s="102" t="s">
        <v>888</v>
      </c>
      <c r="L27" s="138" t="s">
        <v>282</v>
      </c>
      <c r="M27" s="106" t="s">
        <v>220</v>
      </c>
      <c r="N27" s="107" t="s">
        <v>344</v>
      </c>
    </row>
    <row r="28" spans="1:14" x14ac:dyDescent="0.3">
      <c r="A28" s="57" t="s">
        <v>872</v>
      </c>
      <c r="B28" s="24">
        <v>4</v>
      </c>
      <c r="C28" s="16" t="s">
        <v>245</v>
      </c>
      <c r="D28" s="65" t="s">
        <v>908</v>
      </c>
      <c r="E28" s="92"/>
      <c r="F28" s="63" t="s">
        <v>899</v>
      </c>
      <c r="G28" s="41">
        <v>9</v>
      </c>
      <c r="H28" s="40" t="s">
        <v>222</v>
      </c>
      <c r="I28" s="84" t="s">
        <v>221</v>
      </c>
      <c r="J28" s="92"/>
      <c r="K28" s="63" t="s">
        <v>888</v>
      </c>
      <c r="L28" s="139" t="s">
        <v>279</v>
      </c>
      <c r="M28" s="40" t="s">
        <v>222</v>
      </c>
      <c r="N28" s="84" t="s">
        <v>342</v>
      </c>
    </row>
    <row r="29" spans="1:14" x14ac:dyDescent="0.3">
      <c r="A29" s="118" t="s">
        <v>172</v>
      </c>
      <c r="B29" s="98" t="s">
        <v>172</v>
      </c>
      <c r="C29" s="119" t="s">
        <v>172</v>
      </c>
      <c r="D29" s="100" t="s">
        <v>172</v>
      </c>
      <c r="E29" s="101"/>
      <c r="F29" s="102" t="s">
        <v>899</v>
      </c>
      <c r="G29" s="103">
        <v>10</v>
      </c>
      <c r="H29" s="106" t="s">
        <v>224</v>
      </c>
      <c r="I29" s="107" t="s">
        <v>223</v>
      </c>
      <c r="J29" s="101"/>
      <c r="K29" s="102" t="s">
        <v>888</v>
      </c>
      <c r="L29" s="138" t="s">
        <v>909</v>
      </c>
      <c r="M29" s="106" t="s">
        <v>266</v>
      </c>
      <c r="N29" s="107" t="s">
        <v>910</v>
      </c>
    </row>
    <row r="30" spans="1:14" ht="15" thickBot="1" x14ac:dyDescent="0.35">
      <c r="A30" s="66" t="s">
        <v>172</v>
      </c>
      <c r="B30" s="24" t="s">
        <v>172</v>
      </c>
      <c r="C30" s="16" t="s">
        <v>172</v>
      </c>
      <c r="D30" s="65" t="s">
        <v>172</v>
      </c>
      <c r="E30" s="92"/>
      <c r="F30" s="63" t="s">
        <v>899</v>
      </c>
      <c r="G30" s="41">
        <v>11</v>
      </c>
      <c r="H30" s="40" t="s">
        <v>226</v>
      </c>
      <c r="I30" s="84" t="s">
        <v>225</v>
      </c>
      <c r="J30" s="92"/>
      <c r="K30" s="63" t="s">
        <v>888</v>
      </c>
      <c r="L30" s="139" t="s">
        <v>911</v>
      </c>
      <c r="M30" s="40" t="s">
        <v>253</v>
      </c>
      <c r="N30" s="84" t="s">
        <v>912</v>
      </c>
    </row>
    <row r="31" spans="1:14" x14ac:dyDescent="0.3">
      <c r="A31" s="116" t="s">
        <v>897</v>
      </c>
      <c r="B31" s="98">
        <v>3</v>
      </c>
      <c r="C31" s="119" t="s">
        <v>222</v>
      </c>
      <c r="D31" s="120" t="s">
        <v>913</v>
      </c>
      <c r="E31" s="121"/>
      <c r="F31" s="102" t="s">
        <v>899</v>
      </c>
      <c r="G31" s="103">
        <v>12</v>
      </c>
      <c r="H31" s="106" t="s">
        <v>228</v>
      </c>
      <c r="I31" s="107" t="s">
        <v>227</v>
      </c>
      <c r="J31" s="121"/>
      <c r="K31" s="102" t="s">
        <v>888</v>
      </c>
      <c r="L31" s="138" t="s">
        <v>914</v>
      </c>
      <c r="M31" s="106" t="s">
        <v>370</v>
      </c>
      <c r="N31" s="107" t="s">
        <v>915</v>
      </c>
    </row>
    <row r="32" spans="1:14" ht="15" thickBot="1" x14ac:dyDescent="0.35">
      <c r="A32" s="66" t="s">
        <v>172</v>
      </c>
      <c r="B32" s="24" t="s">
        <v>172</v>
      </c>
      <c r="C32" s="16" t="s">
        <v>172</v>
      </c>
      <c r="D32" s="65" t="s">
        <v>172</v>
      </c>
      <c r="E32" s="92"/>
      <c r="F32" s="63" t="s">
        <v>899</v>
      </c>
      <c r="G32" s="41">
        <v>13</v>
      </c>
      <c r="H32" s="40" t="s">
        <v>230</v>
      </c>
      <c r="I32" s="84" t="s">
        <v>229</v>
      </c>
      <c r="J32" s="92"/>
      <c r="K32" s="63" t="s">
        <v>888</v>
      </c>
      <c r="L32" s="139" t="s">
        <v>916</v>
      </c>
      <c r="M32" s="40" t="s">
        <v>322</v>
      </c>
      <c r="N32" s="84" t="s">
        <v>155</v>
      </c>
    </row>
    <row r="33" spans="1:14" x14ac:dyDescent="0.3">
      <c r="A33" s="116" t="s">
        <v>897</v>
      </c>
      <c r="B33" s="98">
        <v>1</v>
      </c>
      <c r="C33" s="119" t="s">
        <v>266</v>
      </c>
      <c r="D33" s="100" t="s">
        <v>917</v>
      </c>
      <c r="E33" s="101"/>
      <c r="F33" s="102" t="s">
        <v>899</v>
      </c>
      <c r="G33" s="103">
        <v>14</v>
      </c>
      <c r="H33" s="106" t="s">
        <v>232</v>
      </c>
      <c r="I33" s="107" t="s">
        <v>231</v>
      </c>
      <c r="J33" s="101"/>
      <c r="K33" s="102" t="s">
        <v>888</v>
      </c>
      <c r="L33" s="138" t="s">
        <v>918</v>
      </c>
      <c r="M33" s="106" t="s">
        <v>368</v>
      </c>
      <c r="N33" s="107" t="s">
        <v>919</v>
      </c>
    </row>
    <row r="34" spans="1:14" ht="15" thickBot="1" x14ac:dyDescent="0.35">
      <c r="A34" s="57" t="s">
        <v>872</v>
      </c>
      <c r="B34" s="24">
        <v>3</v>
      </c>
      <c r="C34" s="16" t="s">
        <v>920</v>
      </c>
      <c r="D34" s="65" t="s">
        <v>921</v>
      </c>
      <c r="E34" s="92"/>
      <c r="F34" s="63" t="s">
        <v>899</v>
      </c>
      <c r="G34" s="41">
        <v>15</v>
      </c>
      <c r="H34" s="40" t="s">
        <v>234</v>
      </c>
      <c r="I34" s="84" t="s">
        <v>233</v>
      </c>
      <c r="J34" s="92"/>
      <c r="K34" s="63" t="s">
        <v>888</v>
      </c>
      <c r="L34" s="139" t="s">
        <v>275</v>
      </c>
      <c r="M34" s="40" t="s">
        <v>194</v>
      </c>
      <c r="N34" s="84" t="s">
        <v>340</v>
      </c>
    </row>
    <row r="35" spans="1:14" x14ac:dyDescent="0.3">
      <c r="A35" s="116" t="s">
        <v>897</v>
      </c>
      <c r="B35" s="98">
        <v>9</v>
      </c>
      <c r="C35" s="119" t="s">
        <v>260</v>
      </c>
      <c r="D35" s="100" t="s">
        <v>922</v>
      </c>
      <c r="E35" s="101"/>
      <c r="F35" s="102" t="s">
        <v>899</v>
      </c>
      <c r="G35" s="103">
        <v>16</v>
      </c>
      <c r="H35" s="106" t="s">
        <v>236</v>
      </c>
      <c r="I35" s="107" t="s">
        <v>235</v>
      </c>
      <c r="J35" s="101"/>
      <c r="K35" s="102" t="s">
        <v>888</v>
      </c>
      <c r="L35" s="138" t="s">
        <v>923</v>
      </c>
      <c r="M35" s="106" t="s">
        <v>238</v>
      </c>
      <c r="N35" s="107" t="s">
        <v>366</v>
      </c>
    </row>
    <row r="36" spans="1:14" x14ac:dyDescent="0.3">
      <c r="A36" s="65" t="s">
        <v>172</v>
      </c>
      <c r="B36" s="65" t="s">
        <v>172</v>
      </c>
      <c r="C36" s="65" t="s">
        <v>172</v>
      </c>
      <c r="D36" s="65" t="s">
        <v>172</v>
      </c>
      <c r="E36" s="92"/>
      <c r="F36" s="63" t="s">
        <v>899</v>
      </c>
      <c r="G36" s="41">
        <v>17</v>
      </c>
      <c r="H36" s="40" t="s">
        <v>238</v>
      </c>
      <c r="I36" s="84" t="s">
        <v>237</v>
      </c>
      <c r="J36" s="92"/>
      <c r="K36" s="63" t="s">
        <v>888</v>
      </c>
      <c r="L36" s="139" t="s">
        <v>295</v>
      </c>
      <c r="M36" s="40" t="s">
        <v>277</v>
      </c>
      <c r="N36" s="84" t="s">
        <v>361</v>
      </c>
    </row>
    <row r="37" spans="1:14" ht="15" thickBot="1" x14ac:dyDescent="0.35">
      <c r="A37" s="97" t="s">
        <v>872</v>
      </c>
      <c r="B37" s="108">
        <v>2</v>
      </c>
      <c r="C37" s="122" t="s">
        <v>194</v>
      </c>
      <c r="D37" s="110" t="s">
        <v>74</v>
      </c>
      <c r="E37" s="111"/>
      <c r="F37" s="112" t="s">
        <v>899</v>
      </c>
      <c r="G37" s="113">
        <v>18</v>
      </c>
      <c r="H37" s="114" t="s">
        <v>240</v>
      </c>
      <c r="I37" s="115" t="s">
        <v>239</v>
      </c>
      <c r="J37" s="111"/>
      <c r="K37" s="102" t="s">
        <v>888</v>
      </c>
      <c r="L37" s="140" t="s">
        <v>272</v>
      </c>
      <c r="M37" s="114" t="s">
        <v>240</v>
      </c>
      <c r="N37" s="115" t="s">
        <v>338</v>
      </c>
    </row>
    <row r="38" spans="1:14" ht="15" thickBot="1" x14ac:dyDescent="0.35">
      <c r="A38" s="53" t="s">
        <v>869</v>
      </c>
      <c r="B38" s="54" t="s">
        <v>870</v>
      </c>
      <c r="C38" s="55" t="s">
        <v>871</v>
      </c>
      <c r="D38" s="72"/>
      <c r="E38" s="94"/>
      <c r="F38" s="53" t="s">
        <v>869</v>
      </c>
      <c r="G38" s="54" t="s">
        <v>870</v>
      </c>
      <c r="H38" s="55" t="s">
        <v>871</v>
      </c>
      <c r="I38" s="72"/>
      <c r="J38" s="94"/>
      <c r="K38" s="53"/>
      <c r="L38" s="136"/>
      <c r="M38" s="55"/>
      <c r="N38" s="72"/>
    </row>
    <row r="39" spans="1:14" ht="15" customHeight="1" x14ac:dyDescent="0.3">
      <c r="A39" s="73"/>
      <c r="B39" s="74"/>
      <c r="C39" s="16" t="s">
        <v>924</v>
      </c>
      <c r="D39" s="76"/>
      <c r="E39" s="91"/>
      <c r="F39" s="57" t="s">
        <v>925</v>
      </c>
      <c r="G39" s="58">
        <v>1</v>
      </c>
      <c r="H39" s="59" t="s">
        <v>243</v>
      </c>
      <c r="I39" s="85" t="s">
        <v>242</v>
      </c>
      <c r="J39" s="91"/>
      <c r="K39" s="57"/>
      <c r="L39" s="137"/>
      <c r="M39" s="59"/>
      <c r="N39" s="85"/>
    </row>
    <row r="40" spans="1:14" x14ac:dyDescent="0.3">
      <c r="A40" s="118"/>
      <c r="B40" s="98"/>
      <c r="C40" s="119" t="s">
        <v>924</v>
      </c>
      <c r="D40" s="100"/>
      <c r="E40" s="101"/>
      <c r="F40" s="102" t="s">
        <v>925</v>
      </c>
      <c r="G40" s="103">
        <v>2</v>
      </c>
      <c r="H40" s="106" t="s">
        <v>245</v>
      </c>
      <c r="I40" s="107" t="s">
        <v>244</v>
      </c>
      <c r="J40" s="101"/>
      <c r="K40" s="102"/>
      <c r="L40" s="138"/>
      <c r="M40" s="106"/>
      <c r="N40" s="107"/>
    </row>
    <row r="41" spans="1:14" x14ac:dyDescent="0.3">
      <c r="A41" s="66"/>
      <c r="B41" s="24"/>
      <c r="C41" s="16" t="s">
        <v>924</v>
      </c>
      <c r="D41" s="65"/>
      <c r="E41" s="92"/>
      <c r="F41" s="63" t="s">
        <v>925</v>
      </c>
      <c r="G41" s="41">
        <v>3</v>
      </c>
      <c r="H41" s="40" t="s">
        <v>247</v>
      </c>
      <c r="I41" s="84" t="s">
        <v>246</v>
      </c>
      <c r="J41" s="92"/>
      <c r="K41" s="57" t="s">
        <v>172</v>
      </c>
      <c r="L41" s="137" t="s">
        <v>172</v>
      </c>
      <c r="M41" s="33" t="s">
        <v>172</v>
      </c>
      <c r="N41" s="86" t="s">
        <v>926</v>
      </c>
    </row>
    <row r="42" spans="1:14" x14ac:dyDescent="0.3">
      <c r="A42" s="118"/>
      <c r="B42" s="98"/>
      <c r="C42" s="119" t="s">
        <v>924</v>
      </c>
      <c r="D42" s="100"/>
      <c r="E42" s="101"/>
      <c r="F42" s="102" t="s">
        <v>925</v>
      </c>
      <c r="G42" s="103">
        <v>4</v>
      </c>
      <c r="H42" s="106" t="s">
        <v>249</v>
      </c>
      <c r="I42" s="107" t="s">
        <v>248</v>
      </c>
      <c r="J42" s="101"/>
      <c r="K42" s="97" t="s">
        <v>172</v>
      </c>
      <c r="L42" s="141" t="s">
        <v>172</v>
      </c>
      <c r="M42" s="104" t="s">
        <v>172</v>
      </c>
      <c r="N42" s="105" t="s">
        <v>927</v>
      </c>
    </row>
    <row r="43" spans="1:14" x14ac:dyDescent="0.3">
      <c r="A43" s="66"/>
      <c r="B43" s="24"/>
      <c r="C43" s="16" t="s">
        <v>924</v>
      </c>
      <c r="D43" s="65"/>
      <c r="E43" s="92"/>
      <c r="F43" s="63" t="s">
        <v>925</v>
      </c>
      <c r="G43" s="41">
        <v>5</v>
      </c>
      <c r="H43" s="40" t="s">
        <v>251</v>
      </c>
      <c r="I43" s="84" t="s">
        <v>250</v>
      </c>
      <c r="J43" s="92"/>
      <c r="K43" s="57" t="s">
        <v>172</v>
      </c>
      <c r="L43" s="137" t="s">
        <v>172</v>
      </c>
      <c r="M43" s="33" t="s">
        <v>172</v>
      </c>
      <c r="N43" s="84" t="s">
        <v>928</v>
      </c>
    </row>
    <row r="44" spans="1:14" x14ac:dyDescent="0.3">
      <c r="A44" s="118"/>
      <c r="B44" s="98"/>
      <c r="C44" s="119" t="s">
        <v>924</v>
      </c>
      <c r="D44" s="100"/>
      <c r="E44" s="101"/>
      <c r="F44" s="102" t="s">
        <v>925</v>
      </c>
      <c r="G44" s="103">
        <v>6</v>
      </c>
      <c r="H44" s="106" t="s">
        <v>253</v>
      </c>
      <c r="I44" s="107" t="s">
        <v>252</v>
      </c>
      <c r="J44" s="101"/>
      <c r="K44" s="97" t="s">
        <v>172</v>
      </c>
      <c r="L44" s="141" t="s">
        <v>172</v>
      </c>
      <c r="M44" s="104" t="s">
        <v>172</v>
      </c>
      <c r="N44" s="107" t="s">
        <v>929</v>
      </c>
    </row>
    <row r="45" spans="1:14" ht="15" thickBot="1" x14ac:dyDescent="0.35">
      <c r="A45" s="77"/>
      <c r="B45" s="70"/>
      <c r="C45" s="16" t="s">
        <v>924</v>
      </c>
      <c r="D45" s="71"/>
      <c r="E45" s="93"/>
      <c r="F45" s="67" t="s">
        <v>925</v>
      </c>
      <c r="G45" s="68">
        <v>7</v>
      </c>
      <c r="H45" s="69" t="s">
        <v>255</v>
      </c>
      <c r="I45" s="88" t="s">
        <v>254</v>
      </c>
      <c r="J45" s="93"/>
      <c r="K45" s="67"/>
      <c r="L45" s="142"/>
      <c r="M45" s="69"/>
      <c r="N45" s="88"/>
    </row>
    <row r="46" spans="1:14" ht="15" thickBot="1" x14ac:dyDescent="0.35">
      <c r="A46" s="53" t="s">
        <v>869</v>
      </c>
      <c r="B46" s="54" t="s">
        <v>870</v>
      </c>
      <c r="C46" s="55" t="s">
        <v>871</v>
      </c>
      <c r="D46" s="72"/>
      <c r="E46" s="94"/>
      <c r="F46" s="53" t="s">
        <v>869</v>
      </c>
      <c r="G46" s="54" t="s">
        <v>870</v>
      </c>
      <c r="H46" s="55" t="s">
        <v>871</v>
      </c>
      <c r="I46" s="72"/>
      <c r="J46" s="94"/>
      <c r="K46" s="53"/>
      <c r="L46" s="136"/>
      <c r="M46" s="55"/>
      <c r="N46" s="72"/>
    </row>
    <row r="47" spans="1:14" ht="15" customHeight="1" x14ac:dyDescent="0.3">
      <c r="A47" s="66"/>
      <c r="B47" s="24"/>
      <c r="C47" s="16" t="s">
        <v>924</v>
      </c>
      <c r="D47" s="65"/>
      <c r="E47" s="91"/>
      <c r="F47" s="57" t="s">
        <v>930</v>
      </c>
      <c r="G47" s="58">
        <v>1</v>
      </c>
      <c r="H47" s="59" t="s">
        <v>247</v>
      </c>
      <c r="I47" s="85" t="s">
        <v>257</v>
      </c>
      <c r="J47" s="91"/>
      <c r="K47" s="63" t="s">
        <v>931</v>
      </c>
      <c r="L47" s="137" t="s">
        <v>279</v>
      </c>
      <c r="M47" s="33" t="s">
        <v>247</v>
      </c>
      <c r="N47" s="86" t="s">
        <v>932</v>
      </c>
    </row>
    <row r="48" spans="1:14" x14ac:dyDescent="0.3">
      <c r="A48" s="118"/>
      <c r="B48" s="98"/>
      <c r="C48" s="119" t="s">
        <v>924</v>
      </c>
      <c r="D48" s="100"/>
      <c r="E48" s="101"/>
      <c r="F48" s="102" t="s">
        <v>930</v>
      </c>
      <c r="G48" s="103">
        <v>2</v>
      </c>
      <c r="H48" s="106" t="s">
        <v>222</v>
      </c>
      <c r="I48" s="107" t="s">
        <v>258</v>
      </c>
      <c r="J48" s="101"/>
      <c r="K48" s="102" t="s">
        <v>931</v>
      </c>
      <c r="L48" s="138" t="s">
        <v>292</v>
      </c>
      <c r="M48" s="106" t="s">
        <v>222</v>
      </c>
      <c r="N48" s="107" t="s">
        <v>933</v>
      </c>
    </row>
    <row r="49" spans="1:14" x14ac:dyDescent="0.3">
      <c r="A49" s="66"/>
      <c r="B49" s="24"/>
      <c r="C49" s="16" t="s">
        <v>924</v>
      </c>
      <c r="D49" s="65"/>
      <c r="E49" s="92"/>
      <c r="F49" s="63" t="s">
        <v>930</v>
      </c>
      <c r="G49" s="41">
        <v>3</v>
      </c>
      <c r="H49" s="40" t="s">
        <v>260</v>
      </c>
      <c r="I49" s="84" t="s">
        <v>259</v>
      </c>
      <c r="J49" s="92"/>
      <c r="K49" s="63" t="s">
        <v>931</v>
      </c>
      <c r="L49" s="139" t="s">
        <v>294</v>
      </c>
      <c r="M49" s="40" t="s">
        <v>260</v>
      </c>
      <c r="N49" s="84" t="s">
        <v>934</v>
      </c>
    </row>
    <row r="50" spans="1:14" x14ac:dyDescent="0.3">
      <c r="A50" s="118"/>
      <c r="B50" s="98"/>
      <c r="C50" s="119" t="s">
        <v>924</v>
      </c>
      <c r="D50" s="100"/>
      <c r="E50" s="101"/>
      <c r="F50" s="102" t="s">
        <v>930</v>
      </c>
      <c r="G50" s="103">
        <v>4</v>
      </c>
      <c r="H50" s="106" t="s">
        <v>262</v>
      </c>
      <c r="I50" s="107" t="s">
        <v>261</v>
      </c>
      <c r="J50" s="101"/>
      <c r="K50" s="102" t="s">
        <v>931</v>
      </c>
      <c r="L50" s="138" t="s">
        <v>282</v>
      </c>
      <c r="M50" s="106" t="s">
        <v>262</v>
      </c>
      <c r="N50" s="107" t="s">
        <v>935</v>
      </c>
    </row>
    <row r="51" spans="1:14" x14ac:dyDescent="0.3">
      <c r="A51" s="66"/>
      <c r="B51" s="24"/>
      <c r="C51" s="16" t="s">
        <v>924</v>
      </c>
      <c r="D51" s="65"/>
      <c r="E51" s="92"/>
      <c r="F51" s="63" t="s">
        <v>930</v>
      </c>
      <c r="G51" s="41">
        <v>5</v>
      </c>
      <c r="H51" s="40" t="s">
        <v>249</v>
      </c>
      <c r="I51" s="84" t="s">
        <v>263</v>
      </c>
      <c r="J51" s="92"/>
      <c r="K51" s="63" t="s">
        <v>931</v>
      </c>
      <c r="L51" s="139" t="s">
        <v>290</v>
      </c>
      <c r="M51" s="40" t="s">
        <v>249</v>
      </c>
      <c r="N51" s="84" t="s">
        <v>263</v>
      </c>
    </row>
    <row r="52" spans="1:14" x14ac:dyDescent="0.3">
      <c r="A52" s="118"/>
      <c r="B52" s="98"/>
      <c r="C52" s="119" t="s">
        <v>924</v>
      </c>
      <c r="D52" s="100"/>
      <c r="E52" s="101"/>
      <c r="F52" s="102" t="s">
        <v>930</v>
      </c>
      <c r="G52" s="103">
        <v>6</v>
      </c>
      <c r="H52" s="106" t="s">
        <v>262</v>
      </c>
      <c r="I52" s="107" t="s">
        <v>264</v>
      </c>
      <c r="J52" s="101"/>
      <c r="K52" s="102" t="s">
        <v>931</v>
      </c>
      <c r="L52" s="138" t="s">
        <v>272</v>
      </c>
      <c r="M52" s="104" t="s">
        <v>245</v>
      </c>
      <c r="N52" s="105" t="s">
        <v>303</v>
      </c>
    </row>
    <row r="53" spans="1:14" x14ac:dyDescent="0.3">
      <c r="A53" s="66"/>
      <c r="B53" s="24"/>
      <c r="C53" s="16" t="s">
        <v>924</v>
      </c>
      <c r="D53" s="65"/>
      <c r="E53" s="92"/>
      <c r="F53" s="63" t="s">
        <v>930</v>
      </c>
      <c r="G53" s="41">
        <v>7</v>
      </c>
      <c r="H53" s="40" t="s">
        <v>266</v>
      </c>
      <c r="I53" s="84" t="s">
        <v>265</v>
      </c>
      <c r="J53" s="92"/>
      <c r="K53" s="63" t="s">
        <v>931</v>
      </c>
      <c r="L53" s="139" t="s">
        <v>285</v>
      </c>
      <c r="M53" s="40" t="s">
        <v>266</v>
      </c>
      <c r="N53" s="84" t="s">
        <v>936</v>
      </c>
    </row>
    <row r="54" spans="1:14" ht="15" thickBot="1" x14ac:dyDescent="0.35">
      <c r="A54" s="118"/>
      <c r="B54" s="98"/>
      <c r="C54" s="119" t="s">
        <v>924</v>
      </c>
      <c r="D54" s="100"/>
      <c r="E54" s="111"/>
      <c r="F54" s="112" t="s">
        <v>930</v>
      </c>
      <c r="G54" s="113">
        <v>8</v>
      </c>
      <c r="H54" s="114" t="s">
        <v>253</v>
      </c>
      <c r="I54" s="115" t="s">
        <v>267</v>
      </c>
      <c r="J54" s="111"/>
      <c r="K54" s="102" t="s">
        <v>931</v>
      </c>
      <c r="L54" s="140" t="s">
        <v>289</v>
      </c>
      <c r="M54" s="114" t="s">
        <v>253</v>
      </c>
      <c r="N54" s="115" t="s">
        <v>937</v>
      </c>
    </row>
    <row r="55" spans="1:14" ht="15" thickBot="1" x14ac:dyDescent="0.35">
      <c r="A55" s="53" t="s">
        <v>869</v>
      </c>
      <c r="B55" s="54" t="s">
        <v>870</v>
      </c>
      <c r="C55" s="55" t="s">
        <v>871</v>
      </c>
      <c r="D55" s="72"/>
      <c r="E55" s="94"/>
      <c r="F55" s="53" t="s">
        <v>869</v>
      </c>
      <c r="G55" s="54" t="s">
        <v>870</v>
      </c>
      <c r="H55" s="55" t="s">
        <v>871</v>
      </c>
      <c r="I55" s="72"/>
      <c r="J55" s="94"/>
      <c r="K55" s="53"/>
      <c r="L55" s="136"/>
      <c r="M55" s="55"/>
      <c r="N55" s="72"/>
    </row>
    <row r="56" spans="1:14" x14ac:dyDescent="0.3">
      <c r="A56" s="66"/>
      <c r="B56" s="24"/>
      <c r="C56" s="16" t="s">
        <v>938</v>
      </c>
      <c r="D56" s="65"/>
      <c r="E56" s="91"/>
      <c r="F56" s="78" t="s">
        <v>939</v>
      </c>
      <c r="G56" s="49">
        <v>1</v>
      </c>
      <c r="H56" s="51" t="s">
        <v>271</v>
      </c>
      <c r="I56" s="89" t="s">
        <v>940</v>
      </c>
      <c r="J56" s="91"/>
      <c r="K56" s="63" t="s">
        <v>941</v>
      </c>
      <c r="L56" s="143" t="s">
        <v>282</v>
      </c>
      <c r="M56" s="51" t="s">
        <v>271</v>
      </c>
      <c r="N56" s="89" t="s">
        <v>942</v>
      </c>
    </row>
    <row r="57" spans="1:14" x14ac:dyDescent="0.3">
      <c r="A57" s="118"/>
      <c r="B57" s="98"/>
      <c r="C57" s="119" t="s">
        <v>924</v>
      </c>
      <c r="D57" s="100"/>
      <c r="E57" s="101"/>
      <c r="F57" s="102" t="s">
        <v>939</v>
      </c>
      <c r="G57" s="103">
        <v>2</v>
      </c>
      <c r="H57" s="123" t="s">
        <v>274</v>
      </c>
      <c r="I57" s="124" t="s">
        <v>943</v>
      </c>
      <c r="J57" s="101"/>
      <c r="K57" s="102" t="s">
        <v>172</v>
      </c>
      <c r="L57" s="138" t="s">
        <v>172</v>
      </c>
      <c r="M57" s="123" t="s">
        <v>172</v>
      </c>
      <c r="N57" s="124" t="s">
        <v>172</v>
      </c>
    </row>
    <row r="58" spans="1:14" x14ac:dyDescent="0.3">
      <c r="A58" s="57" t="s">
        <v>879</v>
      </c>
      <c r="B58" s="24">
        <v>12</v>
      </c>
      <c r="C58" s="16" t="s">
        <v>944</v>
      </c>
      <c r="D58" s="83" t="s">
        <v>276</v>
      </c>
      <c r="E58" s="95"/>
      <c r="F58" s="63" t="s">
        <v>939</v>
      </c>
      <c r="G58" s="41">
        <v>3</v>
      </c>
      <c r="H58" s="38" t="s">
        <v>277</v>
      </c>
      <c r="I58" s="83" t="s">
        <v>276</v>
      </c>
      <c r="J58" s="95"/>
      <c r="K58" s="63" t="s">
        <v>941</v>
      </c>
      <c r="L58" s="139" t="s">
        <v>289</v>
      </c>
      <c r="M58" s="38" t="s">
        <v>328</v>
      </c>
      <c r="N58" s="83" t="s">
        <v>276</v>
      </c>
    </row>
    <row r="59" spans="1:14" x14ac:dyDescent="0.3">
      <c r="A59" s="97" t="s">
        <v>879</v>
      </c>
      <c r="B59" s="98">
        <v>11</v>
      </c>
      <c r="C59" s="119" t="s">
        <v>945</v>
      </c>
      <c r="D59" s="124" t="s">
        <v>280</v>
      </c>
      <c r="E59" s="125"/>
      <c r="F59" s="102" t="s">
        <v>939</v>
      </c>
      <c r="G59" s="103">
        <v>4</v>
      </c>
      <c r="H59" s="123" t="s">
        <v>281</v>
      </c>
      <c r="I59" s="124" t="s">
        <v>280</v>
      </c>
      <c r="J59" s="125"/>
      <c r="K59" s="102" t="s">
        <v>941</v>
      </c>
      <c r="L59" s="138" t="s">
        <v>290</v>
      </c>
      <c r="M59" s="123" t="s">
        <v>188</v>
      </c>
      <c r="N59" s="124" t="s">
        <v>280</v>
      </c>
    </row>
    <row r="60" spans="1:14" x14ac:dyDescent="0.3">
      <c r="A60" s="57" t="s">
        <v>879</v>
      </c>
      <c r="B60" s="24">
        <v>10</v>
      </c>
      <c r="C60" s="16" t="s">
        <v>946</v>
      </c>
      <c r="D60" s="83" t="s">
        <v>283</v>
      </c>
      <c r="E60" s="95"/>
      <c r="F60" s="63" t="s">
        <v>939</v>
      </c>
      <c r="G60" s="41">
        <v>5</v>
      </c>
      <c r="H60" s="38" t="s">
        <v>284</v>
      </c>
      <c r="I60" s="83" t="s">
        <v>283</v>
      </c>
      <c r="J60" s="95"/>
      <c r="K60" s="63" t="s">
        <v>941</v>
      </c>
      <c r="L60" s="139" t="s">
        <v>292</v>
      </c>
      <c r="M60" s="38" t="s">
        <v>332</v>
      </c>
      <c r="N60" s="83" t="s">
        <v>283</v>
      </c>
    </row>
    <row r="61" spans="1:14" x14ac:dyDescent="0.3">
      <c r="A61" s="97" t="s">
        <v>879</v>
      </c>
      <c r="B61" s="98">
        <v>8</v>
      </c>
      <c r="C61" s="119" t="s">
        <v>947</v>
      </c>
      <c r="D61" s="126" t="s">
        <v>286</v>
      </c>
      <c r="E61" s="127"/>
      <c r="F61" s="102" t="s">
        <v>939</v>
      </c>
      <c r="G61" s="103">
        <v>6</v>
      </c>
      <c r="H61" s="128" t="s">
        <v>287</v>
      </c>
      <c r="I61" s="126" t="s">
        <v>286</v>
      </c>
      <c r="J61" s="127"/>
      <c r="K61" s="102" t="s">
        <v>941</v>
      </c>
      <c r="L61" s="138" t="s">
        <v>275</v>
      </c>
      <c r="M61" s="123" t="s">
        <v>322</v>
      </c>
      <c r="N61" s="124" t="s">
        <v>948</v>
      </c>
    </row>
    <row r="62" spans="1:14" x14ac:dyDescent="0.3">
      <c r="A62" s="66"/>
      <c r="B62" s="24"/>
      <c r="C62" s="16" t="s">
        <v>924</v>
      </c>
      <c r="D62" s="65"/>
      <c r="E62" s="92"/>
      <c r="F62" s="63" t="s">
        <v>939</v>
      </c>
      <c r="G62" s="41">
        <v>7</v>
      </c>
      <c r="H62" s="38" t="s">
        <v>271</v>
      </c>
      <c r="I62" s="83" t="s">
        <v>270</v>
      </c>
      <c r="J62" s="92"/>
      <c r="K62" s="63" t="s">
        <v>941</v>
      </c>
      <c r="L62" s="139" t="s">
        <v>295</v>
      </c>
      <c r="M62" s="38" t="s">
        <v>271</v>
      </c>
      <c r="N62" s="83" t="s">
        <v>942</v>
      </c>
    </row>
    <row r="63" spans="1:14" x14ac:dyDescent="0.3">
      <c r="A63" s="118"/>
      <c r="B63" s="98"/>
      <c r="C63" s="119" t="s">
        <v>924</v>
      </c>
      <c r="D63" s="100"/>
      <c r="E63" s="101"/>
      <c r="F63" s="102" t="s">
        <v>939</v>
      </c>
      <c r="G63" s="103">
        <v>8</v>
      </c>
      <c r="H63" s="123" t="s">
        <v>274</v>
      </c>
      <c r="I63" s="124" t="s">
        <v>291</v>
      </c>
      <c r="J63" s="101"/>
      <c r="K63" s="102" t="s">
        <v>172</v>
      </c>
      <c r="L63" s="138" t="s">
        <v>172</v>
      </c>
      <c r="M63" s="123" t="s">
        <v>172</v>
      </c>
      <c r="N63" s="124" t="s">
        <v>172</v>
      </c>
    </row>
    <row r="64" spans="1:14" x14ac:dyDescent="0.3">
      <c r="A64" s="57" t="s">
        <v>879</v>
      </c>
      <c r="B64" s="24">
        <v>14</v>
      </c>
      <c r="C64" s="16" t="s">
        <v>949</v>
      </c>
      <c r="D64" s="83" t="s">
        <v>146</v>
      </c>
      <c r="E64" s="95"/>
      <c r="F64" s="63" t="s">
        <v>939</v>
      </c>
      <c r="G64" s="41">
        <v>9</v>
      </c>
      <c r="H64" s="79" t="s">
        <v>293</v>
      </c>
      <c r="I64" s="83" t="s">
        <v>146</v>
      </c>
      <c r="J64" s="95"/>
      <c r="K64" s="63" t="s">
        <v>941</v>
      </c>
      <c r="L64" s="139" t="s">
        <v>294</v>
      </c>
      <c r="M64" s="79" t="s">
        <v>333</v>
      </c>
      <c r="N64" s="83" t="s">
        <v>146</v>
      </c>
    </row>
    <row r="65" spans="1:14" x14ac:dyDescent="0.3">
      <c r="A65" s="97" t="s">
        <v>879</v>
      </c>
      <c r="B65" s="98">
        <v>13</v>
      </c>
      <c r="C65" s="119" t="s">
        <v>950</v>
      </c>
      <c r="D65" s="124" t="s">
        <v>142</v>
      </c>
      <c r="E65" s="125"/>
      <c r="F65" s="102" t="s">
        <v>939</v>
      </c>
      <c r="G65" s="103">
        <v>10</v>
      </c>
      <c r="H65" s="129" t="s">
        <v>262</v>
      </c>
      <c r="I65" s="124" t="s">
        <v>142</v>
      </c>
      <c r="J65" s="125"/>
      <c r="K65" s="102" t="s">
        <v>941</v>
      </c>
      <c r="L65" s="138" t="s">
        <v>951</v>
      </c>
      <c r="M65" s="129" t="s">
        <v>262</v>
      </c>
      <c r="N65" s="124" t="s">
        <v>142</v>
      </c>
    </row>
    <row r="66" spans="1:14" x14ac:dyDescent="0.3">
      <c r="A66" s="57" t="s">
        <v>879</v>
      </c>
      <c r="B66" s="24">
        <v>9</v>
      </c>
      <c r="C66" s="16" t="s">
        <v>952</v>
      </c>
      <c r="D66" s="84" t="s">
        <v>133</v>
      </c>
      <c r="E66" s="96"/>
      <c r="F66" s="63" t="s">
        <v>939</v>
      </c>
      <c r="G66" s="41">
        <v>11</v>
      </c>
      <c r="H66" s="34" t="s">
        <v>296</v>
      </c>
      <c r="I66" s="84" t="s">
        <v>133</v>
      </c>
      <c r="J66" s="96"/>
      <c r="K66" s="63" t="s">
        <v>941</v>
      </c>
      <c r="L66" s="139" t="s">
        <v>269</v>
      </c>
      <c r="M66" s="34" t="s">
        <v>240</v>
      </c>
      <c r="N66" s="84" t="s">
        <v>133</v>
      </c>
    </row>
    <row r="67" spans="1:14" ht="15" thickBot="1" x14ac:dyDescent="0.35">
      <c r="A67" s="130" t="s">
        <v>879</v>
      </c>
      <c r="B67" s="108">
        <v>7</v>
      </c>
      <c r="C67" s="122" t="s">
        <v>953</v>
      </c>
      <c r="D67" s="131" t="s">
        <v>127</v>
      </c>
      <c r="E67" s="132"/>
      <c r="F67" s="133" t="s">
        <v>939</v>
      </c>
      <c r="G67" s="134">
        <v>12</v>
      </c>
      <c r="H67" s="135" t="s">
        <v>238</v>
      </c>
      <c r="I67" s="131" t="s">
        <v>127</v>
      </c>
      <c r="J67" s="132"/>
      <c r="K67" s="133" t="s">
        <v>941</v>
      </c>
      <c r="L67" s="144" t="s">
        <v>272</v>
      </c>
      <c r="M67" s="135" t="s">
        <v>228</v>
      </c>
      <c r="N67" s="131" t="s">
        <v>127</v>
      </c>
    </row>
  </sheetData>
  <mergeCells count="3">
    <mergeCell ref="F1:I1"/>
    <mergeCell ref="A1:D1"/>
    <mergeCell ref="K1:N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A750-1BD1-451D-AC17-4F2F1097342F}">
  <dimension ref="A3:I153"/>
  <sheetViews>
    <sheetView topLeftCell="B132" workbookViewId="0">
      <selection activeCell="G150" sqref="G150"/>
    </sheetView>
  </sheetViews>
  <sheetFormatPr defaultColWidth="9.109375" defaultRowHeight="14.4" x14ac:dyDescent="0.3"/>
  <cols>
    <col min="1" max="1" width="16.77734375" bestFit="1" customWidth="1"/>
    <col min="2" max="2" width="76.33203125" customWidth="1"/>
    <col min="3" max="3" width="2.109375" customWidth="1"/>
    <col min="4" max="4" width="36.6640625" customWidth="1"/>
    <col min="5" max="5" width="19.6640625" customWidth="1"/>
    <col min="6" max="6" width="2.5546875" customWidth="1"/>
    <col min="7" max="7" width="29.33203125" bestFit="1" customWidth="1"/>
    <col min="8" max="8" width="2.109375" customWidth="1"/>
    <col min="9" max="9" width="35.77734375" bestFit="1" customWidth="1"/>
  </cols>
  <sheetData>
    <row r="3" spans="1:9" ht="21" x14ac:dyDescent="0.4">
      <c r="A3" s="191" t="s">
        <v>557</v>
      </c>
      <c r="B3" s="191" t="s">
        <v>558</v>
      </c>
      <c r="D3" s="191" t="s">
        <v>559</v>
      </c>
      <c r="E3" s="191" t="s">
        <v>561</v>
      </c>
      <c r="F3" s="191"/>
      <c r="G3" s="191" t="s">
        <v>563</v>
      </c>
      <c r="H3" s="191"/>
      <c r="I3" s="191" t="s">
        <v>565</v>
      </c>
    </row>
    <row r="4" spans="1:9" x14ac:dyDescent="0.3">
      <c r="E4" t="s">
        <v>99</v>
      </c>
      <c r="G4" t="s">
        <v>145</v>
      </c>
      <c r="I4" t="s">
        <v>99</v>
      </c>
    </row>
    <row r="5" spans="1:9" x14ac:dyDescent="0.3">
      <c r="A5" t="s">
        <v>566</v>
      </c>
      <c r="B5" t="s">
        <v>567</v>
      </c>
      <c r="D5" t="s">
        <v>568</v>
      </c>
      <c r="E5" t="s">
        <v>71</v>
      </c>
      <c r="G5" t="s">
        <v>574</v>
      </c>
      <c r="I5" t="s">
        <v>144</v>
      </c>
    </row>
    <row r="6" spans="1:9" x14ac:dyDescent="0.3">
      <c r="A6" t="s">
        <v>570</v>
      </c>
      <c r="B6" t="s">
        <v>571</v>
      </c>
      <c r="D6" t="s">
        <v>572</v>
      </c>
      <c r="E6" t="s">
        <v>47</v>
      </c>
      <c r="G6" t="s">
        <v>579</v>
      </c>
      <c r="I6" t="s">
        <v>580</v>
      </c>
    </row>
    <row r="7" spans="1:9" x14ac:dyDescent="0.3">
      <c r="A7" t="s">
        <v>575</v>
      </c>
      <c r="B7" t="s">
        <v>576</v>
      </c>
      <c r="D7" t="s">
        <v>577</v>
      </c>
      <c r="E7" t="s">
        <v>87</v>
      </c>
      <c r="G7" t="s">
        <v>584</v>
      </c>
      <c r="I7" t="s">
        <v>585</v>
      </c>
    </row>
    <row r="8" spans="1:9" x14ac:dyDescent="0.3">
      <c r="A8" t="s">
        <v>581</v>
      </c>
      <c r="B8" t="s">
        <v>582</v>
      </c>
      <c r="D8" t="s">
        <v>583</v>
      </c>
      <c r="G8" t="s">
        <v>590</v>
      </c>
      <c r="I8" t="s">
        <v>312</v>
      </c>
    </row>
    <row r="9" spans="1:9" ht="15.6" x14ac:dyDescent="0.3">
      <c r="A9" t="s">
        <v>586</v>
      </c>
      <c r="B9" t="s">
        <v>587</v>
      </c>
      <c r="D9" t="s">
        <v>588</v>
      </c>
      <c r="E9" s="235" t="s">
        <v>564</v>
      </c>
      <c r="F9" s="235"/>
      <c r="G9" t="s">
        <v>595</v>
      </c>
      <c r="I9" t="s">
        <v>596</v>
      </c>
    </row>
    <row r="10" spans="1:9" x14ac:dyDescent="0.3">
      <c r="A10" t="s">
        <v>591</v>
      </c>
      <c r="B10" t="s">
        <v>592</v>
      </c>
      <c r="D10" t="s">
        <v>593</v>
      </c>
      <c r="E10" t="s">
        <v>69</v>
      </c>
      <c r="G10" t="s">
        <v>600</v>
      </c>
      <c r="I10" t="s">
        <v>367</v>
      </c>
    </row>
    <row r="11" spans="1:9" x14ac:dyDescent="0.3">
      <c r="B11" t="s">
        <v>597</v>
      </c>
      <c r="D11" t="s">
        <v>598</v>
      </c>
      <c r="E11" t="s">
        <v>90</v>
      </c>
      <c r="G11" t="s">
        <v>384</v>
      </c>
      <c r="I11" t="s">
        <v>604</v>
      </c>
    </row>
    <row r="12" spans="1:9" x14ac:dyDescent="0.3">
      <c r="B12" t="s">
        <v>601</v>
      </c>
      <c r="D12" t="s">
        <v>602</v>
      </c>
      <c r="E12" t="s">
        <v>97</v>
      </c>
      <c r="G12" t="s">
        <v>607</v>
      </c>
      <c r="I12" t="s">
        <v>609</v>
      </c>
    </row>
    <row r="13" spans="1:9" x14ac:dyDescent="0.3">
      <c r="B13" t="s">
        <v>605</v>
      </c>
      <c r="D13" t="s">
        <v>606</v>
      </c>
      <c r="E13" t="s">
        <v>181</v>
      </c>
      <c r="G13" t="s">
        <v>612</v>
      </c>
      <c r="I13" t="s">
        <v>613</v>
      </c>
    </row>
    <row r="14" spans="1:9" x14ac:dyDescent="0.3">
      <c r="B14" t="s">
        <v>610</v>
      </c>
      <c r="D14" t="s">
        <v>611</v>
      </c>
      <c r="E14" t="s">
        <v>85</v>
      </c>
      <c r="G14" t="s">
        <v>386</v>
      </c>
      <c r="I14" t="s">
        <v>616</v>
      </c>
    </row>
    <row r="15" spans="1:9" x14ac:dyDescent="0.3">
      <c r="B15" t="s">
        <v>614</v>
      </c>
      <c r="D15" t="s">
        <v>615</v>
      </c>
      <c r="E15" t="s">
        <v>131</v>
      </c>
      <c r="G15" t="s">
        <v>619</v>
      </c>
      <c r="I15" t="s">
        <v>620</v>
      </c>
    </row>
    <row r="16" spans="1:9" x14ac:dyDescent="0.3">
      <c r="B16" t="s">
        <v>617</v>
      </c>
      <c r="D16" t="s">
        <v>618</v>
      </c>
      <c r="E16" t="s">
        <v>128</v>
      </c>
      <c r="G16" t="s">
        <v>623</v>
      </c>
      <c r="I16" t="s">
        <v>371</v>
      </c>
    </row>
    <row r="17" spans="2:9" x14ac:dyDescent="0.3">
      <c r="B17" t="s">
        <v>621</v>
      </c>
      <c r="D17" t="s">
        <v>622</v>
      </c>
      <c r="E17" t="s">
        <v>134</v>
      </c>
      <c r="G17" t="s">
        <v>626</v>
      </c>
      <c r="I17" t="s">
        <v>627</v>
      </c>
    </row>
    <row r="18" spans="2:9" x14ac:dyDescent="0.3">
      <c r="B18" t="s">
        <v>624</v>
      </c>
      <c r="D18" t="s">
        <v>625</v>
      </c>
      <c r="E18" t="s">
        <v>608</v>
      </c>
      <c r="G18" t="s">
        <v>630</v>
      </c>
      <c r="I18" t="s">
        <v>369</v>
      </c>
    </row>
    <row r="19" spans="2:9" x14ac:dyDescent="0.3">
      <c r="B19" t="s">
        <v>628</v>
      </c>
      <c r="D19" t="s">
        <v>629</v>
      </c>
      <c r="G19" t="s">
        <v>633</v>
      </c>
      <c r="I19" t="s">
        <v>634</v>
      </c>
    </row>
    <row r="20" spans="2:9" ht="15.6" x14ac:dyDescent="0.3">
      <c r="B20" t="s">
        <v>631</v>
      </c>
      <c r="D20" t="s">
        <v>632</v>
      </c>
      <c r="E20" s="235" t="s">
        <v>560</v>
      </c>
      <c r="F20" s="235"/>
      <c r="G20" t="s">
        <v>329</v>
      </c>
      <c r="I20" t="s">
        <v>637</v>
      </c>
    </row>
    <row r="21" spans="2:9" x14ac:dyDescent="0.3">
      <c r="B21" t="s">
        <v>635</v>
      </c>
      <c r="D21" t="s">
        <v>636</v>
      </c>
      <c r="E21" t="s">
        <v>73</v>
      </c>
      <c r="G21" t="s">
        <v>640</v>
      </c>
      <c r="I21" t="s">
        <v>641</v>
      </c>
    </row>
    <row r="22" spans="2:9" x14ac:dyDescent="0.3">
      <c r="B22" t="s">
        <v>638</v>
      </c>
      <c r="D22" t="s">
        <v>639</v>
      </c>
      <c r="E22" t="s">
        <v>77</v>
      </c>
      <c r="G22" t="s">
        <v>644</v>
      </c>
      <c r="I22" t="s">
        <v>645</v>
      </c>
    </row>
    <row r="23" spans="2:9" x14ac:dyDescent="0.3">
      <c r="B23" t="s">
        <v>642</v>
      </c>
      <c r="D23" t="s">
        <v>643</v>
      </c>
      <c r="E23" t="s">
        <v>578</v>
      </c>
      <c r="G23" t="s">
        <v>648</v>
      </c>
      <c r="I23" t="s">
        <v>649</v>
      </c>
    </row>
    <row r="24" spans="2:9" x14ac:dyDescent="0.3">
      <c r="B24" t="s">
        <v>646</v>
      </c>
      <c r="D24" t="s">
        <v>647</v>
      </c>
      <c r="E24" t="s">
        <v>355</v>
      </c>
      <c r="G24" t="s">
        <v>652</v>
      </c>
      <c r="I24" t="s">
        <v>653</v>
      </c>
    </row>
    <row r="25" spans="2:9" x14ac:dyDescent="0.3">
      <c r="B25" t="s">
        <v>650</v>
      </c>
      <c r="D25" t="s">
        <v>651</v>
      </c>
      <c r="E25" t="s">
        <v>589</v>
      </c>
      <c r="G25" t="s">
        <v>656</v>
      </c>
      <c r="I25" t="s">
        <v>102</v>
      </c>
    </row>
    <row r="26" spans="2:9" x14ac:dyDescent="0.3">
      <c r="B26" t="s">
        <v>654</v>
      </c>
      <c r="D26" t="s">
        <v>655</v>
      </c>
      <c r="E26" t="s">
        <v>594</v>
      </c>
      <c r="G26" t="s">
        <v>960</v>
      </c>
      <c r="I26" t="s">
        <v>640</v>
      </c>
    </row>
    <row r="27" spans="2:9" x14ac:dyDescent="0.3">
      <c r="B27" t="s">
        <v>657</v>
      </c>
      <c r="E27" t="s">
        <v>599</v>
      </c>
      <c r="G27" t="s">
        <v>658</v>
      </c>
      <c r="I27" t="s">
        <v>661</v>
      </c>
    </row>
    <row r="28" spans="2:9" x14ac:dyDescent="0.3">
      <c r="B28" t="s">
        <v>659</v>
      </c>
      <c r="E28" t="s">
        <v>603</v>
      </c>
      <c r="G28" t="s">
        <v>660</v>
      </c>
      <c r="I28" t="s">
        <v>664</v>
      </c>
    </row>
    <row r="29" spans="2:9" x14ac:dyDescent="0.3">
      <c r="B29" t="s">
        <v>662</v>
      </c>
      <c r="G29" t="s">
        <v>663</v>
      </c>
      <c r="I29" t="s">
        <v>363</v>
      </c>
    </row>
    <row r="30" spans="2:9" ht="15.6" x14ac:dyDescent="0.3">
      <c r="B30" t="s">
        <v>665</v>
      </c>
      <c r="E30" s="235" t="s">
        <v>562</v>
      </c>
      <c r="F30" s="235"/>
      <c r="G30" t="s">
        <v>666</v>
      </c>
      <c r="I30" t="s">
        <v>672</v>
      </c>
    </row>
    <row r="31" spans="2:9" x14ac:dyDescent="0.3">
      <c r="B31" t="s">
        <v>667</v>
      </c>
      <c r="E31" t="s">
        <v>569</v>
      </c>
      <c r="G31" t="s">
        <v>668</v>
      </c>
      <c r="I31" t="s">
        <v>669</v>
      </c>
    </row>
    <row r="32" spans="2:9" x14ac:dyDescent="0.3">
      <c r="B32" t="s">
        <v>670</v>
      </c>
      <c r="E32" t="s">
        <v>573</v>
      </c>
      <c r="G32" t="s">
        <v>671</v>
      </c>
      <c r="I32" t="s">
        <v>80</v>
      </c>
    </row>
    <row r="33" spans="2:9" x14ac:dyDescent="0.3">
      <c r="B33" t="s">
        <v>673</v>
      </c>
      <c r="E33" t="s">
        <v>204</v>
      </c>
      <c r="G33" t="s">
        <v>148</v>
      </c>
      <c r="I33" t="s">
        <v>675</v>
      </c>
    </row>
    <row r="34" spans="2:9" x14ac:dyDescent="0.3">
      <c r="B34" t="s">
        <v>674</v>
      </c>
      <c r="G34" t="s">
        <v>356</v>
      </c>
      <c r="I34" t="s">
        <v>677</v>
      </c>
    </row>
    <row r="35" spans="2:9" x14ac:dyDescent="0.3">
      <c r="B35" t="s">
        <v>676</v>
      </c>
      <c r="G35" t="s">
        <v>360</v>
      </c>
      <c r="I35" t="s">
        <v>72</v>
      </c>
    </row>
    <row r="36" spans="2:9" x14ac:dyDescent="0.3">
      <c r="B36" t="s">
        <v>678</v>
      </c>
      <c r="G36" t="s">
        <v>339</v>
      </c>
      <c r="I36" t="s">
        <v>681</v>
      </c>
    </row>
    <row r="37" spans="2:9" x14ac:dyDescent="0.3">
      <c r="B37" t="s">
        <v>679</v>
      </c>
      <c r="G37" t="s">
        <v>680</v>
      </c>
      <c r="I37" t="s">
        <v>684</v>
      </c>
    </row>
    <row r="38" spans="2:9" x14ac:dyDescent="0.3">
      <c r="B38" t="s">
        <v>682</v>
      </c>
      <c r="G38" t="s">
        <v>683</v>
      </c>
      <c r="I38" t="s">
        <v>686</v>
      </c>
    </row>
    <row r="39" spans="2:9" x14ac:dyDescent="0.3">
      <c r="B39" t="s">
        <v>685</v>
      </c>
      <c r="G39" t="s">
        <v>380</v>
      </c>
      <c r="I39" t="s">
        <v>688</v>
      </c>
    </row>
    <row r="40" spans="2:9" x14ac:dyDescent="0.3">
      <c r="B40" t="s">
        <v>687</v>
      </c>
      <c r="G40" t="s">
        <v>345</v>
      </c>
      <c r="I40" t="s">
        <v>691</v>
      </c>
    </row>
    <row r="41" spans="2:9" x14ac:dyDescent="0.3">
      <c r="B41" t="s">
        <v>689</v>
      </c>
      <c r="G41" t="s">
        <v>690</v>
      </c>
      <c r="I41" t="s">
        <v>148</v>
      </c>
    </row>
    <row r="42" spans="2:9" ht="15" x14ac:dyDescent="0.3">
      <c r="B42" t="s">
        <v>692</v>
      </c>
      <c r="G42" t="s">
        <v>693</v>
      </c>
      <c r="H42" s="195"/>
      <c r="I42" t="s">
        <v>957</v>
      </c>
    </row>
    <row r="43" spans="2:9" ht="15" x14ac:dyDescent="0.3">
      <c r="B43" t="s">
        <v>694</v>
      </c>
      <c r="G43" s="195" t="s">
        <v>695</v>
      </c>
      <c r="I43" t="s">
        <v>958</v>
      </c>
    </row>
    <row r="44" spans="2:9" x14ac:dyDescent="0.3">
      <c r="G44" t="s">
        <v>696</v>
      </c>
      <c r="I44" t="s">
        <v>697</v>
      </c>
    </row>
    <row r="45" spans="2:9" x14ac:dyDescent="0.3">
      <c r="G45" t="s">
        <v>391</v>
      </c>
      <c r="I45" t="s">
        <v>76</v>
      </c>
    </row>
    <row r="46" spans="2:9" ht="15" x14ac:dyDescent="0.3">
      <c r="G46" t="s">
        <v>698</v>
      </c>
      <c r="H46" s="195"/>
      <c r="I46" t="s">
        <v>700</v>
      </c>
    </row>
    <row r="47" spans="2:9" ht="15" x14ac:dyDescent="0.3">
      <c r="G47" s="195" t="s">
        <v>699</v>
      </c>
      <c r="I47" t="s">
        <v>702</v>
      </c>
    </row>
    <row r="48" spans="2:9" x14ac:dyDescent="0.3">
      <c r="G48" t="s">
        <v>701</v>
      </c>
      <c r="I48" t="s">
        <v>379</v>
      </c>
    </row>
    <row r="49" spans="7:9" x14ac:dyDescent="0.3">
      <c r="G49" t="s">
        <v>103</v>
      </c>
      <c r="I49" t="s">
        <v>703</v>
      </c>
    </row>
    <row r="50" spans="7:9" x14ac:dyDescent="0.3">
      <c r="G50" t="s">
        <v>106</v>
      </c>
      <c r="I50" t="s">
        <v>344</v>
      </c>
    </row>
    <row r="51" spans="7:9" x14ac:dyDescent="0.3">
      <c r="G51" t="s">
        <v>115</v>
      </c>
      <c r="I51" t="s">
        <v>119</v>
      </c>
    </row>
    <row r="52" spans="7:9" x14ac:dyDescent="0.3">
      <c r="G52" t="s">
        <v>704</v>
      </c>
      <c r="I52" t="s">
        <v>122</v>
      </c>
    </row>
    <row r="53" spans="7:9" x14ac:dyDescent="0.3">
      <c r="G53" t="s">
        <v>705</v>
      </c>
      <c r="I53" t="s">
        <v>167</v>
      </c>
    </row>
    <row r="54" spans="7:9" x14ac:dyDescent="0.3">
      <c r="G54" t="s">
        <v>706</v>
      </c>
      <c r="I54" t="s">
        <v>693</v>
      </c>
    </row>
    <row r="55" spans="7:9" x14ac:dyDescent="0.3">
      <c r="G55" t="s">
        <v>707</v>
      </c>
      <c r="I55" t="s">
        <v>95</v>
      </c>
    </row>
    <row r="56" spans="7:9" x14ac:dyDescent="0.3">
      <c r="G56" t="s">
        <v>708</v>
      </c>
      <c r="I56" t="s">
        <v>710</v>
      </c>
    </row>
    <row r="57" spans="7:9" x14ac:dyDescent="0.3">
      <c r="G57" t="s">
        <v>709</v>
      </c>
      <c r="I57" t="s">
        <v>712</v>
      </c>
    </row>
    <row r="58" spans="7:9" ht="15" x14ac:dyDescent="0.3">
      <c r="G58" t="s">
        <v>711</v>
      </c>
      <c r="I58" s="195" t="s">
        <v>695</v>
      </c>
    </row>
    <row r="59" spans="7:9" x14ac:dyDescent="0.3">
      <c r="G59" t="s">
        <v>713</v>
      </c>
      <c r="I59" t="s">
        <v>714</v>
      </c>
    </row>
    <row r="60" spans="7:9" x14ac:dyDescent="0.3">
      <c r="G60" t="s">
        <v>715</v>
      </c>
      <c r="I60" t="s">
        <v>716</v>
      </c>
    </row>
    <row r="61" spans="7:9" x14ac:dyDescent="0.3">
      <c r="G61" t="s">
        <v>717</v>
      </c>
      <c r="I61" t="s">
        <v>698</v>
      </c>
    </row>
    <row r="62" spans="7:9" x14ac:dyDescent="0.3">
      <c r="G62" t="s">
        <v>718</v>
      </c>
      <c r="I62" t="s">
        <v>701</v>
      </c>
    </row>
    <row r="63" spans="7:9" x14ac:dyDescent="0.3">
      <c r="G63" t="s">
        <v>719</v>
      </c>
      <c r="I63" t="s">
        <v>720</v>
      </c>
    </row>
    <row r="64" spans="7:9" x14ac:dyDescent="0.3">
      <c r="G64" t="s">
        <v>721</v>
      </c>
      <c r="I64" t="s">
        <v>723</v>
      </c>
    </row>
    <row r="65" spans="7:9" x14ac:dyDescent="0.3">
      <c r="G65" t="s">
        <v>722</v>
      </c>
      <c r="I65" t="s">
        <v>725</v>
      </c>
    </row>
    <row r="66" spans="7:9" x14ac:dyDescent="0.3">
      <c r="G66" t="s">
        <v>724</v>
      </c>
      <c r="I66" t="s">
        <v>115</v>
      </c>
    </row>
    <row r="67" spans="7:9" x14ac:dyDescent="0.3">
      <c r="G67" t="s">
        <v>726</v>
      </c>
      <c r="I67" t="s">
        <v>728</v>
      </c>
    </row>
    <row r="68" spans="7:9" x14ac:dyDescent="0.3">
      <c r="G68" t="s">
        <v>727</v>
      </c>
      <c r="I68" t="s">
        <v>278</v>
      </c>
    </row>
    <row r="69" spans="7:9" x14ac:dyDescent="0.3">
      <c r="G69" t="s">
        <v>729</v>
      </c>
      <c r="I69" t="s">
        <v>705</v>
      </c>
    </row>
    <row r="70" spans="7:9" x14ac:dyDescent="0.3">
      <c r="G70" t="s">
        <v>730</v>
      </c>
      <c r="I70" t="s">
        <v>734</v>
      </c>
    </row>
    <row r="71" spans="7:9" x14ac:dyDescent="0.3">
      <c r="G71" t="s">
        <v>731</v>
      </c>
      <c r="I71" t="s">
        <v>732</v>
      </c>
    </row>
    <row r="72" spans="7:9" x14ac:dyDescent="0.3">
      <c r="G72" t="s">
        <v>733</v>
      </c>
      <c r="I72" t="s">
        <v>736</v>
      </c>
    </row>
    <row r="73" spans="7:9" x14ac:dyDescent="0.3">
      <c r="G73" t="s">
        <v>735</v>
      </c>
      <c r="I73" t="s">
        <v>738</v>
      </c>
    </row>
    <row r="74" spans="7:9" x14ac:dyDescent="0.3">
      <c r="G74" t="s">
        <v>737</v>
      </c>
      <c r="I74" t="s">
        <v>151</v>
      </c>
    </row>
    <row r="75" spans="7:9" x14ac:dyDescent="0.3">
      <c r="G75" t="s">
        <v>739</v>
      </c>
      <c r="I75" t="s">
        <v>341</v>
      </c>
    </row>
    <row r="76" spans="7:9" x14ac:dyDescent="0.3">
      <c r="G76" t="s">
        <v>740</v>
      </c>
      <c r="I76" t="s">
        <v>741</v>
      </c>
    </row>
    <row r="77" spans="7:9" x14ac:dyDescent="0.3">
      <c r="G77" t="s">
        <v>299</v>
      </c>
      <c r="I77" t="s">
        <v>743</v>
      </c>
    </row>
    <row r="78" spans="7:9" x14ac:dyDescent="0.3">
      <c r="G78" t="s">
        <v>742</v>
      </c>
      <c r="I78" t="s">
        <v>744</v>
      </c>
    </row>
    <row r="79" spans="7:9" x14ac:dyDescent="0.3">
      <c r="G79" t="s">
        <v>288</v>
      </c>
      <c r="I79" t="s">
        <v>746</v>
      </c>
    </row>
    <row r="80" spans="7:9" x14ac:dyDescent="0.3">
      <c r="G80" t="s">
        <v>745</v>
      </c>
      <c r="I80" t="s">
        <v>748</v>
      </c>
    </row>
    <row r="81" spans="7:9" x14ac:dyDescent="0.3">
      <c r="G81" t="s">
        <v>747</v>
      </c>
      <c r="I81" t="s">
        <v>288</v>
      </c>
    </row>
    <row r="82" spans="7:9" x14ac:dyDescent="0.3">
      <c r="G82" t="s">
        <v>749</v>
      </c>
      <c r="I82" t="s">
        <v>161</v>
      </c>
    </row>
    <row r="83" spans="7:9" x14ac:dyDescent="0.3">
      <c r="G83" t="s">
        <v>750</v>
      </c>
      <c r="I83" t="s">
        <v>298</v>
      </c>
    </row>
    <row r="84" spans="7:9" x14ac:dyDescent="0.3">
      <c r="G84" t="s">
        <v>751</v>
      </c>
      <c r="I84" t="s">
        <v>753</v>
      </c>
    </row>
    <row r="85" spans="7:9" x14ac:dyDescent="0.3">
      <c r="G85" t="s">
        <v>752</v>
      </c>
      <c r="I85" t="s">
        <v>92</v>
      </c>
    </row>
    <row r="86" spans="7:9" x14ac:dyDescent="0.3">
      <c r="G86" t="s">
        <v>319</v>
      </c>
      <c r="I86" t="s">
        <v>755</v>
      </c>
    </row>
    <row r="87" spans="7:9" x14ac:dyDescent="0.3">
      <c r="G87" t="s">
        <v>754</v>
      </c>
      <c r="I87" t="s">
        <v>757</v>
      </c>
    </row>
    <row r="88" spans="7:9" x14ac:dyDescent="0.3">
      <c r="G88" t="s">
        <v>756</v>
      </c>
      <c r="I88" t="s">
        <v>759</v>
      </c>
    </row>
    <row r="89" spans="7:9" x14ac:dyDescent="0.3">
      <c r="G89" t="s">
        <v>758</v>
      </c>
      <c r="I89" t="s">
        <v>761</v>
      </c>
    </row>
    <row r="90" spans="7:9" x14ac:dyDescent="0.3">
      <c r="G90" t="s">
        <v>760</v>
      </c>
      <c r="I90" t="s">
        <v>763</v>
      </c>
    </row>
    <row r="91" spans="7:9" x14ac:dyDescent="0.3">
      <c r="G91" t="s">
        <v>762</v>
      </c>
      <c r="I91" t="s">
        <v>765</v>
      </c>
    </row>
    <row r="92" spans="7:9" x14ac:dyDescent="0.3">
      <c r="G92" t="s">
        <v>764</v>
      </c>
      <c r="I92" t="s">
        <v>108</v>
      </c>
    </row>
    <row r="93" spans="7:9" x14ac:dyDescent="0.3">
      <c r="G93" t="s">
        <v>766</v>
      </c>
      <c r="I93" t="s">
        <v>767</v>
      </c>
    </row>
    <row r="94" spans="7:9" x14ac:dyDescent="0.3">
      <c r="G94" t="s">
        <v>759</v>
      </c>
      <c r="I94" t="s">
        <v>769</v>
      </c>
    </row>
    <row r="95" spans="7:9" x14ac:dyDescent="0.3">
      <c r="G95" t="s">
        <v>768</v>
      </c>
      <c r="I95" t="s">
        <v>771</v>
      </c>
    </row>
    <row r="96" spans="7:9" x14ac:dyDescent="0.3">
      <c r="G96" t="s">
        <v>770</v>
      </c>
      <c r="I96" t="s">
        <v>773</v>
      </c>
    </row>
    <row r="97" spans="7:9" x14ac:dyDescent="0.3">
      <c r="G97" t="s">
        <v>772</v>
      </c>
      <c r="I97" t="s">
        <v>361</v>
      </c>
    </row>
    <row r="98" spans="7:9" x14ac:dyDescent="0.3">
      <c r="G98" t="s">
        <v>774</v>
      </c>
      <c r="I98" t="s">
        <v>776</v>
      </c>
    </row>
    <row r="99" spans="7:9" x14ac:dyDescent="0.3">
      <c r="G99" t="s">
        <v>775</v>
      </c>
      <c r="I99" t="s">
        <v>164</v>
      </c>
    </row>
    <row r="100" spans="7:9" x14ac:dyDescent="0.3">
      <c r="G100" t="s">
        <v>777</v>
      </c>
      <c r="I100" t="s">
        <v>310</v>
      </c>
    </row>
    <row r="101" spans="7:9" x14ac:dyDescent="0.3">
      <c r="G101" t="s">
        <v>778</v>
      </c>
      <c r="I101" t="s">
        <v>780</v>
      </c>
    </row>
    <row r="102" spans="7:9" x14ac:dyDescent="0.3">
      <c r="G102" t="s">
        <v>779</v>
      </c>
      <c r="I102" t="s">
        <v>381</v>
      </c>
    </row>
    <row r="103" spans="7:9" x14ac:dyDescent="0.3">
      <c r="G103" t="s">
        <v>781</v>
      </c>
      <c r="I103" t="s">
        <v>88</v>
      </c>
    </row>
    <row r="104" spans="7:9" x14ac:dyDescent="0.3">
      <c r="G104" t="s">
        <v>782</v>
      </c>
      <c r="I104" t="s">
        <v>784</v>
      </c>
    </row>
    <row r="105" spans="7:9" x14ac:dyDescent="0.3">
      <c r="G105" t="s">
        <v>783</v>
      </c>
      <c r="I105" t="s">
        <v>786</v>
      </c>
    </row>
    <row r="106" spans="7:9" x14ac:dyDescent="0.3">
      <c r="G106" t="s">
        <v>785</v>
      </c>
      <c r="I106" t="s">
        <v>155</v>
      </c>
    </row>
    <row r="107" spans="7:9" x14ac:dyDescent="0.3">
      <c r="G107" t="s">
        <v>787</v>
      </c>
      <c r="I107" t="s">
        <v>83</v>
      </c>
    </row>
    <row r="108" spans="7:9" x14ac:dyDescent="0.3">
      <c r="G108" t="s">
        <v>788</v>
      </c>
      <c r="I108" t="s">
        <v>790</v>
      </c>
    </row>
    <row r="109" spans="7:9" x14ac:dyDescent="0.3">
      <c r="G109" t="s">
        <v>789</v>
      </c>
      <c r="I109" t="s">
        <v>105</v>
      </c>
    </row>
    <row r="110" spans="7:9" x14ac:dyDescent="0.3">
      <c r="G110" t="s">
        <v>791</v>
      </c>
      <c r="I110" t="s">
        <v>793</v>
      </c>
    </row>
    <row r="111" spans="7:9" x14ac:dyDescent="0.3">
      <c r="G111" t="s">
        <v>792</v>
      </c>
      <c r="I111" t="s">
        <v>153</v>
      </c>
    </row>
    <row r="112" spans="7:9" x14ac:dyDescent="0.3">
      <c r="G112" t="s">
        <v>794</v>
      </c>
      <c r="I112" t="s">
        <v>353</v>
      </c>
    </row>
    <row r="113" spans="7:9" x14ac:dyDescent="0.3">
      <c r="G113" t="s">
        <v>795</v>
      </c>
      <c r="I113" t="s">
        <v>797</v>
      </c>
    </row>
    <row r="114" spans="7:9" x14ac:dyDescent="0.3">
      <c r="G114" t="s">
        <v>796</v>
      </c>
      <c r="I114" t="s">
        <v>799</v>
      </c>
    </row>
    <row r="115" spans="7:9" x14ac:dyDescent="0.3">
      <c r="G115" t="s">
        <v>798</v>
      </c>
      <c r="I115" t="s">
        <v>801</v>
      </c>
    </row>
    <row r="116" spans="7:9" x14ac:dyDescent="0.3">
      <c r="G116" t="s">
        <v>800</v>
      </c>
    </row>
    <row r="117" spans="7:9" x14ac:dyDescent="0.3">
      <c r="G117" t="s">
        <v>802</v>
      </c>
    </row>
    <row r="118" spans="7:9" x14ac:dyDescent="0.3">
      <c r="G118" t="s">
        <v>803</v>
      </c>
    </row>
    <row r="119" spans="7:9" x14ac:dyDescent="0.3">
      <c r="G119" t="s">
        <v>804</v>
      </c>
    </row>
    <row r="120" spans="7:9" x14ac:dyDescent="0.3">
      <c r="G120" t="s">
        <v>805</v>
      </c>
    </row>
    <row r="121" spans="7:9" x14ac:dyDescent="0.3">
      <c r="G121" t="s">
        <v>806</v>
      </c>
    </row>
    <row r="122" spans="7:9" x14ac:dyDescent="0.3">
      <c r="G122" t="s">
        <v>807</v>
      </c>
    </row>
    <row r="123" spans="7:9" x14ac:dyDescent="0.3">
      <c r="G123" t="s">
        <v>808</v>
      </c>
    </row>
    <row r="124" spans="7:9" x14ac:dyDescent="0.3">
      <c r="G124" t="s">
        <v>809</v>
      </c>
    </row>
    <row r="125" spans="7:9" x14ac:dyDescent="0.3">
      <c r="G125" t="s">
        <v>810</v>
      </c>
    </row>
    <row r="126" spans="7:9" x14ac:dyDescent="0.3">
      <c r="G126" t="s">
        <v>767</v>
      </c>
    </row>
    <row r="127" spans="7:9" x14ac:dyDescent="0.3">
      <c r="G127" t="s">
        <v>769</v>
      </c>
    </row>
    <row r="128" spans="7:9" x14ac:dyDescent="0.3">
      <c r="G128" t="s">
        <v>771</v>
      </c>
    </row>
    <row r="129" spans="7:7" x14ac:dyDescent="0.3">
      <c r="G129" t="s">
        <v>811</v>
      </c>
    </row>
    <row r="130" spans="7:7" x14ac:dyDescent="0.3">
      <c r="G130" t="s">
        <v>776</v>
      </c>
    </row>
    <row r="131" spans="7:7" x14ac:dyDescent="0.3">
      <c r="G131" t="s">
        <v>812</v>
      </c>
    </row>
    <row r="132" spans="7:7" x14ac:dyDescent="0.3">
      <c r="G132" t="s">
        <v>813</v>
      </c>
    </row>
    <row r="133" spans="7:7" x14ac:dyDescent="0.3">
      <c r="G133" t="s">
        <v>780</v>
      </c>
    </row>
    <row r="134" spans="7:7" x14ac:dyDescent="0.3">
      <c r="G134" t="s">
        <v>814</v>
      </c>
    </row>
    <row r="135" spans="7:7" x14ac:dyDescent="0.3">
      <c r="G135" t="s">
        <v>815</v>
      </c>
    </row>
    <row r="136" spans="7:7" x14ac:dyDescent="0.3">
      <c r="G136" t="s">
        <v>816</v>
      </c>
    </row>
    <row r="137" spans="7:7" x14ac:dyDescent="0.3">
      <c r="G137" t="s">
        <v>817</v>
      </c>
    </row>
    <row r="138" spans="7:7" x14ac:dyDescent="0.3">
      <c r="G138" t="s">
        <v>818</v>
      </c>
    </row>
    <row r="139" spans="7:7" x14ac:dyDescent="0.3">
      <c r="G139" t="s">
        <v>819</v>
      </c>
    </row>
    <row r="140" spans="7:7" x14ac:dyDescent="0.3">
      <c r="G140" t="s">
        <v>820</v>
      </c>
    </row>
    <row r="141" spans="7:7" x14ac:dyDescent="0.3">
      <c r="G141" t="s">
        <v>821</v>
      </c>
    </row>
    <row r="142" spans="7:7" x14ac:dyDescent="0.3">
      <c r="G142" t="s">
        <v>822</v>
      </c>
    </row>
    <row r="143" spans="7:7" x14ac:dyDescent="0.3">
      <c r="G143" t="s">
        <v>823</v>
      </c>
    </row>
    <row r="144" spans="7:7" x14ac:dyDescent="0.3">
      <c r="G144" t="s">
        <v>961</v>
      </c>
    </row>
    <row r="145" spans="7:7" x14ac:dyDescent="0.3">
      <c r="G145" t="s">
        <v>824</v>
      </c>
    </row>
    <row r="146" spans="7:7" x14ac:dyDescent="0.3">
      <c r="G146" t="s">
        <v>825</v>
      </c>
    </row>
    <row r="147" spans="7:7" x14ac:dyDescent="0.3">
      <c r="G147" t="s">
        <v>826</v>
      </c>
    </row>
    <row r="148" spans="7:7" x14ac:dyDescent="0.3">
      <c r="G148" t="s">
        <v>827</v>
      </c>
    </row>
    <row r="149" spans="7:7" x14ac:dyDescent="0.3">
      <c r="G149" t="s">
        <v>793</v>
      </c>
    </row>
    <row r="150" spans="7:7" x14ac:dyDescent="0.3">
      <c r="G150" t="s">
        <v>828</v>
      </c>
    </row>
    <row r="151" spans="7:7" x14ac:dyDescent="0.3">
      <c r="G151" t="s">
        <v>829</v>
      </c>
    </row>
    <row r="152" spans="7:7" x14ac:dyDescent="0.3">
      <c r="G152" t="s">
        <v>830</v>
      </c>
    </row>
    <row r="153" spans="7:7" x14ac:dyDescent="0.3">
      <c r="G153" t="s">
        <v>831</v>
      </c>
    </row>
  </sheetData>
  <dataValidations count="1">
    <dataValidation type="list" allowBlank="1" showInputMessage="1" showErrorMessage="1" sqref="B5" xr:uid="{3E4C5683-A0C0-4BBE-A94C-F7A51750C555}">
      <formula1>$B$5:$B$44</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59fe6c-4997-47bb-9f52-c7b0b893a4fa">
      <Terms xmlns="http://schemas.microsoft.com/office/infopath/2007/PartnerControls"/>
    </lcf76f155ced4ddcb4097134ff3c332f>
    <TaxCatchAll xmlns="67442665-b37c-4f0e-99e3-274b850453f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93FCD50A0DB344AC1580E23544C39D" ma:contentTypeVersion="12" ma:contentTypeDescription="Create a new document." ma:contentTypeScope="" ma:versionID="adba33028438c4595156cd09a3bb1539">
  <xsd:schema xmlns:xsd="http://www.w3.org/2001/XMLSchema" xmlns:xs="http://www.w3.org/2001/XMLSchema" xmlns:p="http://schemas.microsoft.com/office/2006/metadata/properties" xmlns:ns2="7659fe6c-4997-47bb-9f52-c7b0b893a4fa" xmlns:ns3="67442665-b37c-4f0e-99e3-274b850453f2" targetNamespace="http://schemas.microsoft.com/office/2006/metadata/properties" ma:root="true" ma:fieldsID="e0677c97c5d5ce72890bfbdfc6564cb9" ns2:_="" ns3:_="">
    <xsd:import namespace="7659fe6c-4997-47bb-9f52-c7b0b893a4fa"/>
    <xsd:import namespace="67442665-b37c-4f0e-99e3-274b850453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59fe6c-4997-47bb-9f52-c7b0b893a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b15d0b-7256-47d9-a362-cb35e477ece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442665-b37c-4f0e-99e3-274b850453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a3bdbc-5de8-4f1a-bb02-2293f442f482}" ma:internalName="TaxCatchAll" ma:showField="CatchAllData" ma:web="67442665-b37c-4f0e-99e3-274b850453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6A4B85-97FD-47BE-8822-56F9188665BA}">
  <ds:schemaRefs>
    <ds:schemaRef ds:uri="http://schemas.microsoft.com/sharepoint/v3/contenttype/forms"/>
  </ds:schemaRefs>
</ds:datastoreItem>
</file>

<file path=customXml/itemProps2.xml><?xml version="1.0" encoding="utf-8"?>
<ds:datastoreItem xmlns:ds="http://schemas.openxmlformats.org/officeDocument/2006/customXml" ds:itemID="{EB0A55B0-766A-4EA8-BEAF-023250197E10}">
  <ds:schemaRefs>
    <ds:schemaRef ds:uri="http://schemas.microsoft.com/office/2006/metadata/properties"/>
    <ds:schemaRef ds:uri="http://schemas.microsoft.com/office/infopath/2007/PartnerControls"/>
    <ds:schemaRef ds:uri="7659fe6c-4997-47bb-9f52-c7b0b893a4fa"/>
    <ds:schemaRef ds:uri="67442665-b37c-4f0e-99e3-274b850453f2"/>
  </ds:schemaRefs>
</ds:datastoreItem>
</file>

<file path=customXml/itemProps3.xml><?xml version="1.0" encoding="utf-8"?>
<ds:datastoreItem xmlns:ds="http://schemas.openxmlformats.org/officeDocument/2006/customXml" ds:itemID="{C696C110-4A9F-4B0C-9B8F-02E009411D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59fe6c-4997-47bb-9f52-c7b0b893a4fa"/>
    <ds:schemaRef ds:uri="67442665-b37c-4f0e-99e3-274b850453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Features</vt:lpstr>
      <vt:lpstr>available commands</vt:lpstr>
      <vt:lpstr>Install 40x ORI</vt:lpstr>
      <vt:lpstr>Install 40x RSR</vt:lpstr>
      <vt:lpstr>Install 40x RXT</vt:lpstr>
      <vt:lpstr>Install 800</vt:lpstr>
      <vt:lpstr>Install 933</vt:lpstr>
      <vt:lpstr>LED</vt:lpstr>
      <vt:lpstr>PF</vt:lpstr>
      <vt:lpstr>Takeover &amp; Pitstop</vt:lpstr>
      <vt:lpstr>Module Programming</vt:lpstr>
      <vt:lpstr>Emergency Shutdown</vt:lpstr>
      <vt:lpstr>troubleshooting</vt:lpstr>
      <vt:lpstr>Module Connection Reference</vt:lpstr>
      <vt:lpstr>list</vt:lpstr>
      <vt:lpstr>list!ConnectionTypesNoW2W</vt:lpstr>
      <vt:lpstr>list!state</vt:lpstr>
    </vt:vector>
  </TitlesOfParts>
  <Manager/>
  <Company>Directed Electronics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Bouchard</dc:creator>
  <cp:keywords/>
  <dc:description/>
  <cp:lastModifiedBy>Adrian Mojoatca</cp:lastModifiedBy>
  <cp:revision/>
  <dcterms:created xsi:type="dcterms:W3CDTF">2010-09-09T14:27:11Z</dcterms:created>
  <dcterms:modified xsi:type="dcterms:W3CDTF">2026-09-14T13:45:24Z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0x0101006593FCD50A0DB344AC1580E23544C39D</vt:lpwstr>
  </property>
  <property fmtid="{D5CDD505-2E9C-101B-9397-08002B2CF9AE}" pid="3" name="MediaServiceImageTags">
    <vt:lpwstr/>
  </property>
</Properties>
</file>